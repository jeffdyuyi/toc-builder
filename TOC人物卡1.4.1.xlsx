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0" yWindow="0" windowWidth="20730" windowHeight="11760"/>
  </bookViews>
  <sheets>
    <sheet name="人物卡" sheetId="1" r:id="rId1"/>
    <sheet name="职业列表" sheetId="4" r:id="rId2"/>
    <sheet name="示例 哈维先生" sheetId="2" state="hidden" r:id="rId3"/>
    <sheet name="职业" sheetId="5" state="hidden" r:id="rId4"/>
    <sheet name="特殊规则" sheetId="6" state="hidden" r:id="rId5"/>
    <sheet name="信誉等级" sheetId="7" state="hidden" r:id="rId6"/>
    <sheet name="武器列表" sheetId="8" r:id="rId7"/>
    <sheet name="心智支柱" sheetId="9" r:id="rId8"/>
    <sheet name="动力" sheetId="10" r:id="rId9"/>
  </sheets>
  <calcPr calcId="144525"/>
</workbook>
</file>

<file path=xl/calcChain.xml><?xml version="1.0" encoding="utf-8"?>
<calcChain xmlns="http://schemas.openxmlformats.org/spreadsheetml/2006/main">
  <c r="U13" i="5" l="1"/>
  <c r="U12" i="5"/>
  <c r="U11" i="5"/>
  <c r="U10" i="5"/>
  <c r="U9" i="5"/>
  <c r="U8" i="5"/>
  <c r="U7" i="5"/>
  <c r="U6" i="5"/>
  <c r="U5" i="5"/>
  <c r="U4" i="5"/>
  <c r="L39" i="1" s="1"/>
  <c r="N39" i="1" s="1"/>
  <c r="O39" i="1" s="1"/>
  <c r="U41" i="2"/>
  <c r="M41" i="2"/>
  <c r="F41" i="2"/>
  <c r="U40" i="2"/>
  <c r="M40" i="2"/>
  <c r="F40" i="2"/>
  <c r="U39" i="2"/>
  <c r="M39" i="2"/>
  <c r="F39" i="2"/>
  <c r="U38" i="2"/>
  <c r="M38" i="2"/>
  <c r="F38" i="2"/>
  <c r="U37" i="2"/>
  <c r="M37" i="2"/>
  <c r="F37" i="2"/>
  <c r="U36" i="2"/>
  <c r="M36" i="2"/>
  <c r="F36" i="2"/>
  <c r="U35" i="2"/>
  <c r="M35" i="2"/>
  <c r="F35" i="2"/>
  <c r="U34" i="2"/>
  <c r="M34" i="2"/>
  <c r="F34" i="2"/>
  <c r="U33" i="2"/>
  <c r="M33" i="2"/>
  <c r="F33" i="2"/>
  <c r="U32" i="2"/>
  <c r="M32" i="2"/>
  <c r="F32" i="2"/>
  <c r="U31" i="2"/>
  <c r="M31" i="2"/>
  <c r="F31" i="2"/>
  <c r="U30" i="2"/>
  <c r="M30" i="2"/>
  <c r="F30" i="2"/>
  <c r="U29" i="2"/>
  <c r="F29" i="2"/>
  <c r="U28" i="2"/>
  <c r="M28" i="2"/>
  <c r="F28" i="2"/>
  <c r="U27" i="2"/>
  <c r="M27" i="2"/>
  <c r="F27" i="2"/>
  <c r="U26" i="2"/>
  <c r="M26" i="2"/>
  <c r="F26" i="2"/>
  <c r="U25" i="2"/>
  <c r="M25" i="2"/>
  <c r="F25" i="2"/>
  <c r="U24" i="2"/>
  <c r="M24" i="2"/>
  <c r="F24" i="2"/>
  <c r="U23" i="2"/>
  <c r="M23" i="2"/>
  <c r="F23" i="2"/>
  <c r="U22" i="2"/>
  <c r="M22" i="2"/>
  <c r="F22" i="2"/>
  <c r="U21" i="2"/>
  <c r="M21" i="2"/>
  <c r="F21" i="2"/>
  <c r="U20" i="2"/>
  <c r="M20" i="2"/>
  <c r="F20" i="2"/>
  <c r="U19" i="2"/>
  <c r="M19" i="2"/>
  <c r="F19" i="2"/>
  <c r="U18" i="2"/>
  <c r="M18" i="2"/>
  <c r="F18" i="2"/>
  <c r="U17" i="2"/>
  <c r="M17" i="2"/>
  <c r="F17" i="2"/>
  <c r="U16" i="2"/>
  <c r="M16" i="2"/>
  <c r="F16" i="2"/>
  <c r="U15" i="2"/>
  <c r="M15" i="2"/>
  <c r="F15" i="2"/>
  <c r="G11" i="2"/>
  <c r="G10" i="2"/>
  <c r="M6" i="2"/>
  <c r="M4" i="2"/>
  <c r="M2" i="2"/>
  <c r="C25" i="4"/>
  <c r="C24" i="4"/>
  <c r="C23" i="4"/>
  <c r="C22" i="4"/>
  <c r="C21" i="4"/>
  <c r="C20" i="4"/>
  <c r="C19" i="4"/>
  <c r="C18" i="4"/>
  <c r="C17" i="4"/>
  <c r="C16" i="4"/>
  <c r="C15" i="4"/>
  <c r="C14" i="4"/>
  <c r="C13" i="4"/>
  <c r="C12" i="4"/>
  <c r="C11" i="4"/>
  <c r="C10" i="4"/>
  <c r="C9" i="4"/>
  <c r="C8" i="4"/>
  <c r="C7" i="4"/>
  <c r="C6" i="4"/>
  <c r="C5" i="4"/>
  <c r="C4" i="4"/>
  <c r="C3" i="4"/>
  <c r="J48" i="1"/>
  <c r="V45" i="1"/>
  <c r="T45" i="1"/>
  <c r="V44" i="1"/>
  <c r="T44" i="1"/>
  <c r="R44" i="1"/>
  <c r="K44" i="1"/>
  <c r="I44" i="1"/>
  <c r="V43" i="1"/>
  <c r="T43" i="1"/>
  <c r="R43" i="1"/>
  <c r="K43" i="1"/>
  <c r="I43" i="1"/>
  <c r="V34" i="1"/>
  <c r="U34" i="1"/>
  <c r="V33" i="1"/>
  <c r="U33" i="1"/>
  <c r="V26" i="1"/>
  <c r="U26" i="1"/>
  <c r="V25" i="1"/>
  <c r="U25" i="1"/>
  <c r="H22" i="1"/>
  <c r="G22" i="1"/>
  <c r="L20" i="1"/>
  <c r="N20" i="1" s="1"/>
  <c r="C13" i="1"/>
  <c r="H12" i="1"/>
  <c r="H11" i="1"/>
  <c r="F6" i="1"/>
  <c r="Q5" i="1"/>
  <c r="O5" i="1"/>
  <c r="Q4" i="1"/>
  <c r="O4" i="1"/>
  <c r="Q3" i="1"/>
  <c r="O3" i="1"/>
  <c r="S29" i="1" l="1"/>
  <c r="U29" i="1" s="1"/>
  <c r="V29" i="1" s="1"/>
  <c r="E16" i="1"/>
  <c r="G16" i="1" s="1"/>
  <c r="H16" i="1" s="1"/>
  <c r="S23" i="1"/>
  <c r="U23" i="1" s="1"/>
  <c r="V23" i="1" s="1"/>
  <c r="C36" i="1"/>
  <c r="L21" i="1"/>
  <c r="N21" i="1" s="1"/>
  <c r="O21" i="1" s="1"/>
  <c r="S18" i="1"/>
  <c r="U18" i="1" s="1"/>
  <c r="V18" i="1" s="1"/>
  <c r="L26" i="1"/>
  <c r="N26" i="1" s="1"/>
  <c r="O26" i="1" s="1"/>
  <c r="L32" i="1"/>
  <c r="N32" i="1" s="1"/>
  <c r="O32" i="1" s="1"/>
  <c r="L8" i="1"/>
  <c r="L7" i="1"/>
  <c r="L37" i="1"/>
  <c r="N37" i="1" s="1"/>
  <c r="O37" i="1" s="1"/>
  <c r="L17" i="1"/>
  <c r="N17" i="1" s="1"/>
  <c r="O17" i="1" s="1"/>
  <c r="L22" i="1"/>
  <c r="N22" i="1" s="1"/>
  <c r="O22" i="1" s="1"/>
  <c r="S27" i="1"/>
  <c r="U27" i="1" s="1"/>
  <c r="V27" i="1" s="1"/>
  <c r="S39" i="1"/>
  <c r="U39" i="1" s="1"/>
  <c r="V39" i="1" s="1"/>
  <c r="E20" i="1"/>
  <c r="G20" i="1" s="1"/>
  <c r="H20" i="1" s="1"/>
  <c r="E25" i="1"/>
  <c r="G25" i="1" s="1"/>
  <c r="H25" i="1" s="1"/>
  <c r="E31" i="1"/>
  <c r="G31" i="1" s="1"/>
  <c r="H31" i="1" s="1"/>
  <c r="L34" i="1"/>
  <c r="N34" i="1" s="1"/>
  <c r="O34" i="1" s="1"/>
  <c r="S36" i="1"/>
  <c r="U36" i="1" s="1"/>
  <c r="V36" i="1" s="1"/>
  <c r="O7" i="1"/>
  <c r="L18" i="1"/>
  <c r="N18" i="1" s="1"/>
  <c r="O18" i="1" s="1"/>
  <c r="S19" i="1"/>
  <c r="U19" i="1" s="1"/>
  <c r="V19" i="1" s="1"/>
  <c r="O20" i="1"/>
  <c r="L23" i="1"/>
  <c r="N23" i="1" s="1"/>
  <c r="O23" i="1" s="1"/>
  <c r="E26" i="1"/>
  <c r="G26" i="1" s="1"/>
  <c r="H26" i="1" s="1"/>
  <c r="S30" i="1"/>
  <c r="U30" i="1" s="1"/>
  <c r="V30" i="1" s="1"/>
  <c r="C35" i="1"/>
  <c r="L36" i="1"/>
  <c r="N36" i="1" s="1"/>
  <c r="O36" i="1" s="1"/>
  <c r="C39" i="1"/>
  <c r="L16" i="1"/>
  <c r="N16" i="1" s="1"/>
  <c r="O16" i="1" s="1"/>
  <c r="S17" i="1"/>
  <c r="U17" i="1" s="1"/>
  <c r="V17" i="1" s="1"/>
  <c r="E19" i="1"/>
  <c r="G19" i="1" s="1"/>
  <c r="H19" i="1" s="1"/>
  <c r="S21" i="1"/>
  <c r="U21" i="1" s="1"/>
  <c r="V21" i="1" s="1"/>
  <c r="S22" i="1"/>
  <c r="U22" i="1" s="1"/>
  <c r="V22" i="1" s="1"/>
  <c r="E24" i="1"/>
  <c r="G24" i="1" s="1"/>
  <c r="H24" i="1" s="1"/>
  <c r="L25" i="1"/>
  <c r="N25" i="1" s="1"/>
  <c r="O25" i="1" s="1"/>
  <c r="E28" i="1"/>
  <c r="G28" i="1" s="1"/>
  <c r="H28" i="1" s="1"/>
  <c r="E30" i="1"/>
  <c r="G30" i="1" s="1"/>
  <c r="H30" i="1" s="1"/>
  <c r="L31" i="1"/>
  <c r="N31" i="1" s="1"/>
  <c r="O31" i="1" s="1"/>
  <c r="S32" i="1"/>
  <c r="U32" i="1" s="1"/>
  <c r="V32" i="1" s="1"/>
  <c r="C34" i="1"/>
  <c r="C37" i="1"/>
  <c r="S37" i="1"/>
  <c r="U37" i="1" s="1"/>
  <c r="V37" i="1" s="1"/>
  <c r="L38" i="1"/>
  <c r="N38" i="1" s="1"/>
  <c r="O38" i="1" s="1"/>
  <c r="E17" i="1"/>
  <c r="G17" i="1" s="1"/>
  <c r="H17" i="1" s="1"/>
  <c r="E21" i="1"/>
  <c r="G21" i="1" s="1"/>
  <c r="H21" i="1" s="1"/>
  <c r="S24" i="1"/>
  <c r="U24" i="1" s="1"/>
  <c r="V24" i="1" s="1"/>
  <c r="E27" i="1"/>
  <c r="G27" i="1" s="1"/>
  <c r="H27" i="1" s="1"/>
  <c r="E29" i="1"/>
  <c r="G29" i="1" s="1"/>
  <c r="H29" i="1" s="1"/>
  <c r="E32" i="1"/>
  <c r="G32" i="1" s="1"/>
  <c r="H32" i="1" s="1"/>
  <c r="S35" i="1"/>
  <c r="U35" i="1" s="1"/>
  <c r="V35" i="1" s="1"/>
  <c r="S16" i="1"/>
  <c r="U16" i="1" s="1"/>
  <c r="E18" i="1"/>
  <c r="G18" i="1" s="1"/>
  <c r="H18" i="1" s="1"/>
  <c r="L19" i="1"/>
  <c r="N19" i="1" s="1"/>
  <c r="O19" i="1" s="1"/>
  <c r="S20" i="1"/>
  <c r="U20" i="1" s="1"/>
  <c r="V20" i="1" s="1"/>
  <c r="E23" i="1"/>
  <c r="G23" i="1" s="1"/>
  <c r="H23" i="1" s="1"/>
  <c r="L24" i="1"/>
  <c r="N24" i="1" s="1"/>
  <c r="O24" i="1" s="1"/>
  <c r="S25" i="1"/>
  <c r="S28" i="1"/>
  <c r="U28" i="1" s="1"/>
  <c r="V28" i="1" s="1"/>
  <c r="L30" i="1"/>
  <c r="N30" i="1" s="1"/>
  <c r="O30" i="1" s="1"/>
  <c r="S31" i="1"/>
  <c r="U31" i="1" s="1"/>
  <c r="V31" i="1" s="1"/>
  <c r="L33" i="1"/>
  <c r="N33" i="1" s="1"/>
  <c r="O33" i="1" s="1"/>
  <c r="L35" i="1"/>
  <c r="N35" i="1" s="1"/>
  <c r="O35" i="1" s="1"/>
  <c r="C38" i="1"/>
  <c r="S38" i="1"/>
  <c r="U38" i="1" s="1"/>
  <c r="V38" i="1" s="1"/>
  <c r="V16" i="1" l="1"/>
  <c r="T11" i="1"/>
  <c r="V11" i="1" s="1"/>
</calcChain>
</file>

<file path=xl/comments1.xml><?xml version="1.0" encoding="utf-8"?>
<comments xmlns="http://schemas.openxmlformats.org/spreadsheetml/2006/main">
  <authors>
    <author>Starfire</author>
  </authors>
  <commentList>
    <comment ref="C11" authorId="0">
      <text>
        <r>
          <rPr>
            <b/>
            <sz val="9"/>
            <rFont val="宋体"/>
            <family val="3"/>
            <charset val="134"/>
          </rPr>
          <t>提示:</t>
        </r>
        <r>
          <rPr>
            <sz val="9"/>
            <rFont val="宋体"/>
            <family val="3"/>
            <charset val="134"/>
          </rPr>
          <t xml:space="preserve">
调查能力包括学术能力、社交能力与技术能力</t>
        </r>
      </text>
    </comment>
  </commentList>
</comments>
</file>

<file path=xl/sharedStrings.xml><?xml version="1.0" encoding="utf-8"?>
<sst xmlns="http://schemas.openxmlformats.org/spreadsheetml/2006/main" count="878" uniqueCount="368">
  <si>
    <t>建议以office2010及以上或WPS打开此表</t>
  </si>
  <si>
    <t>调查员信息</t>
  </si>
  <si>
    <t>此处应有头像</t>
  </si>
  <si>
    <t>角色名</t>
  </si>
  <si>
    <t>性别</t>
  </si>
  <si>
    <t>精神疾病</t>
  </si>
  <si>
    <t>暂无</t>
  </si>
  <si>
    <t>心智</t>
  </si>
  <si>
    <t>玩家</t>
  </si>
  <si>
    <t>年龄</t>
  </si>
  <si>
    <t>坚毅状态</t>
  </si>
  <si>
    <t>正常</t>
  </si>
  <si>
    <t>坚毅</t>
  </si>
  <si>
    <t>动力</t>
  </si>
  <si>
    <t>健康状态</t>
  </si>
  <si>
    <t>健康</t>
  </si>
  <si>
    <t>职业编号</t>
  </si>
  <si>
    <t>经济情况</t>
  </si>
  <si>
    <t>心智支柱</t>
  </si>
  <si>
    <t>经济阶层</t>
  </si>
  <si>
    <t>年收入</t>
  </si>
  <si>
    <t>典型标志</t>
  </si>
  <si>
    <t>能力点数</t>
  </si>
  <si>
    <t>战斗</t>
  </si>
  <si>
    <t>基础</t>
  </si>
  <si>
    <t>其他</t>
  </si>
  <si>
    <t>等级</t>
  </si>
  <si>
    <t>调查能力</t>
  </si>
  <si>
    <t>剩余</t>
  </si>
  <si>
    <t>命中阀值</t>
  </si>
  <si>
    <t>一般能力</t>
  </si>
  <si>
    <t>学术能力</t>
  </si>
  <si>
    <t>社交能力</t>
  </si>
  <si>
    <t>能力</t>
  </si>
  <si>
    <t>本职</t>
  </si>
  <si>
    <t>调查</t>
  </si>
  <si>
    <t>一般</t>
  </si>
  <si>
    <t>会计</t>
  </si>
  <si>
    <t>察言观色</t>
  </si>
  <si>
    <t>运动</t>
  </si>
  <si>
    <t>人类学</t>
  </si>
  <si>
    <t>议价</t>
  </si>
  <si>
    <t>藏匿</t>
  </si>
  <si>
    <t>考古学</t>
  </si>
  <si>
    <t>官僚</t>
  </si>
  <si>
    <t>伪装</t>
  </si>
  <si>
    <t>建筑学</t>
  </si>
  <si>
    <t>警方交谈</t>
  </si>
  <si>
    <t>驾驶</t>
  </si>
  <si>
    <t>艺术史</t>
  </si>
  <si>
    <t>信誉等级</t>
  </si>
  <si>
    <t>电器维修</t>
  </si>
  <si>
    <t>生物学</t>
  </si>
  <si>
    <t>奉承</t>
  </si>
  <si>
    <t>爆破</t>
  </si>
  <si>
    <t>克苏鲁神话</t>
  </si>
  <si>
    <t>——</t>
  </si>
  <si>
    <t>审讯</t>
  </si>
  <si>
    <t>偷窃</t>
  </si>
  <si>
    <t>密码学</t>
  </si>
  <si>
    <t>威胁</t>
  </si>
  <si>
    <t>枪械</t>
  </si>
  <si>
    <t>地质学</t>
  </si>
  <si>
    <t>口述采访</t>
  </si>
  <si>
    <t>急救</t>
  </si>
  <si>
    <t>历史</t>
  </si>
  <si>
    <t>安抚</t>
  </si>
  <si>
    <t>逃脱</t>
  </si>
  <si>
    <t>语言</t>
  </si>
  <si>
    <t>底层社会</t>
  </si>
  <si>
    <t>法律</t>
  </si>
  <si>
    <t>如果存在二选一能力，请自己勾选</t>
  </si>
  <si>
    <t>催眠</t>
  </si>
  <si>
    <t>文献查阅</t>
  </si>
  <si>
    <t>技术能力</t>
  </si>
  <si>
    <t>机械维修</t>
  </si>
  <si>
    <t>医学</t>
  </si>
  <si>
    <t>导航</t>
  </si>
  <si>
    <t>神秘学</t>
  </si>
  <si>
    <t>艺术</t>
  </si>
  <si>
    <t>物品整备</t>
  </si>
  <si>
    <t>物理学</t>
  </si>
  <si>
    <t>天文学</t>
  </si>
  <si>
    <t>精神分析</t>
  </si>
  <si>
    <t>神学</t>
  </si>
  <si>
    <t>化学</t>
  </si>
  <si>
    <t>骑术</t>
  </si>
  <si>
    <t>手艺</t>
  </si>
  <si>
    <t>证物采集</t>
  </si>
  <si>
    <t>法医</t>
  </si>
  <si>
    <t>搏击</t>
  </si>
  <si>
    <t>开锁</t>
  </si>
  <si>
    <t>警觉</t>
  </si>
  <si>
    <t>野外求生</t>
  </si>
  <si>
    <t>追踪</t>
  </si>
  <si>
    <t>药剂学</t>
  </si>
  <si>
    <t>潜行</t>
  </si>
  <si>
    <t>摄影</t>
  </si>
  <si>
    <t>近战武器</t>
  </si>
  <si>
    <t>社交</t>
  </si>
  <si>
    <t>学术</t>
  </si>
  <si>
    <t>学术或社交</t>
  </si>
  <si>
    <t>社交或技术</t>
  </si>
  <si>
    <t>任意</t>
  </si>
  <si>
    <t>武器名称</t>
  </si>
  <si>
    <t>装弹量</t>
  </si>
  <si>
    <t>备注</t>
  </si>
  <si>
    <t>调整值</t>
  </si>
  <si>
    <t>实际</t>
  </si>
  <si>
    <t>拳脚</t>
  </si>
  <si>
    <t>坚毅之源</t>
  </si>
  <si>
    <t>职业特长</t>
  </si>
  <si>
    <t>联系人和关系</t>
  </si>
  <si>
    <t>随身物品</t>
  </si>
  <si>
    <t>人物背景</t>
  </si>
  <si>
    <t>咕咕改</t>
  </si>
  <si>
    <t>序号</t>
  </si>
  <si>
    <t>职业列表</t>
  </si>
  <si>
    <t>职业技能</t>
  </si>
  <si>
    <t>职业</t>
  </si>
  <si>
    <t>自动</t>
  </si>
  <si>
    <t>请在职业列表自行选择职业编号</t>
  </si>
  <si>
    <t>精神病学家</t>
  </si>
  <si>
    <t>生物学 、语言 、文献查阅 、医学 、药剂学 、精神分析 、察言观色 、任意2个社交能力</t>
  </si>
  <si>
    <t>▽古玩家</t>
  </si>
  <si>
    <t>建筑学 、艺术史 、议价 、历史 、语言 、法律 、文献查阅 、任意1个调查能力</t>
  </si>
  <si>
    <t>考古学家</t>
  </si>
  <si>
    <t>考古学 、运动 、证物采集 、急救 、历史 、语言 、文献查阅 、骑术 、任意2个调查能力</t>
  </si>
  <si>
    <t>▽艺术家</t>
  </si>
  <si>
    <t>建筑学 、艺术史 、艺术 、手艺 、伪装 、奉承 、摄影 、察言观色 、任意2个学术或社交能力</t>
  </si>
  <si>
    <t>▽作家</t>
  </si>
  <si>
    <t>艺术 、历史 、语言 、文献查阅 、口述采访 、察言观色 、任意3个能力</t>
  </si>
  <si>
    <t>神职人员</t>
  </si>
  <si>
    <t>历史 、语言 、文献查阅 、精神分析 、察言观色 、安抚 、神学 、任意1个社交能力</t>
  </si>
  <si>
    <t>罪犯</t>
  </si>
  <si>
    <t>议价 、威胁 、开锁 、搏击 、警觉 、追踪 、潜行 、底层社会 、任意1个社交或技术能力</t>
  </si>
  <si>
    <t>▽风雅子弟</t>
  </si>
  <si>
    <t>信誉等级 、奉承 、骑术 、任意5个能力</t>
  </si>
  <si>
    <t>▽医生</t>
  </si>
  <si>
    <t xml:space="preserve">会计 、生物学 、急救 、法医 、语言 、医学 、药剂学 、察言观色 、安抚 </t>
  </si>
  <si>
    <t>流浪汉</t>
  </si>
  <si>
    <t xml:space="preserve">运动 、议价 、偷窃 、野外求生 、警觉 、潜行 、底层社会 </t>
  </si>
  <si>
    <t>▽记者</t>
  </si>
  <si>
    <t>警方交谈 、伪装 、证物采集 、语言 、口述采访 、摄影 、察言观色 、安抚 、追踪 、任意1个社交能力</t>
  </si>
  <si>
    <t>军人</t>
  </si>
  <si>
    <t>运动 、枪械 、威胁 、野外求生 、搏击 、近战武器</t>
  </si>
  <si>
    <t>医务兵</t>
  </si>
  <si>
    <t>运动 、枪械 、威胁 、野外求生 、搏击 、近战武器 、急救 、医学 、安抚</t>
  </si>
  <si>
    <t>工程兵</t>
  </si>
  <si>
    <t>运动 、枪械 、威胁 、野外求生 、搏击 、近战武器 、驾驶 、爆破 、机械维修</t>
  </si>
  <si>
    <t>海军</t>
  </si>
  <si>
    <t>运动 、枪械 、威胁 、野外求生 、搏击 、近战武器 、天文学 、机械维修 、导航</t>
  </si>
  <si>
    <t>军官</t>
  </si>
  <si>
    <t>运动 、枪械 、威胁 、野外求生 、搏击 、近战武器 、官僚 、骑术或导航、安抚</t>
  </si>
  <si>
    <t>护士</t>
  </si>
  <si>
    <t>生物学 、急救 、医学 、药剂学 、察言观色 、安抚 、若KP许可，可以增加官僚/奉承</t>
  </si>
  <si>
    <t>灵异现象研究者</t>
  </si>
  <si>
    <t>人类学 、电器维修 、文献查阅 、机械维修 、神秘学 、摄影 、察言观色 、警觉</t>
  </si>
  <si>
    <t>飞行员</t>
  </si>
  <si>
    <t>天文学 、驾驶 、电器维修 、机械维修 、导航 、警觉</t>
  </si>
  <si>
    <t>▽警探</t>
  </si>
  <si>
    <t>运动 、警方交谈 、驾驶 、证物采集 、枪械 、审讯 、法律 、察言观色 、警觉</t>
  </si>
  <si>
    <t>私家侦探</t>
  </si>
  <si>
    <t xml:space="preserve">会计 、伪装 、驾驶 、法律 、开锁 、摄影 、察言观色 、安抚 、搏击 、追踪 </t>
  </si>
  <si>
    <t>▽教授</t>
  </si>
  <si>
    <t>官僚 、语言 、文献查阅 、任意1种社交能力，以及任意3种学术能力（包括用于学术研究的天文学和化学）</t>
  </si>
  <si>
    <t>科学家</t>
  </si>
  <si>
    <t>电器维修 、证物采集 、语言 、文献查阅 、摄影 、下列任选2：天文学、生物学、化学、密码学、法医、地质学、物理学</t>
  </si>
  <si>
    <t>调查员姓名</t>
  </si>
  <si>
    <t>哈维·沃尔特</t>
  </si>
  <si>
    <t>秋叶EXODIS</t>
  </si>
  <si>
    <t>好奇</t>
  </si>
  <si>
    <t>记者</t>
  </si>
  <si>
    <t>宿命论</t>
  </si>
  <si>
    <t>搜寻观测无定的预兆</t>
  </si>
  <si>
    <t>使用安抚进入收藏旧报纸的资料库</t>
  </si>
  <si>
    <t>创建点数</t>
  </si>
  <si>
    <t>一般能力点数</t>
  </si>
  <si>
    <t>创建</t>
  </si>
  <si>
    <t>√</t>
  </si>
  <si>
    <t>飞机驾驶</t>
  </si>
  <si>
    <t>联系人及游戏记录</t>
  </si>
  <si>
    <t>已经疯魔的西奥多叔叔</t>
  </si>
  <si>
    <t>该人物卡转换自COC第七版中的示例人物卡哈维·沃尔特，并稍作了些修改</t>
  </si>
  <si>
    <t>无</t>
  </si>
  <si>
    <t>~</t>
  </si>
  <si>
    <t>列</t>
  </si>
  <si>
    <t>本职技能</t>
  </si>
  <si>
    <r>
      <rPr>
        <sz val="11"/>
        <color theme="1"/>
        <rFont val="等线"/>
        <charset val="134"/>
      </rPr>
      <t>+</t>
    </r>
  </si>
  <si>
    <t>亚欧积雪</t>
  </si>
  <si>
    <t xml:space="preserve">口述采访 </t>
  </si>
  <si>
    <t>不同兵种职业能力不同，具体参阅规则书</t>
  </si>
  <si>
    <t>特殊</t>
  </si>
  <si>
    <t xml:space="preserve">医学 </t>
  </si>
  <si>
    <t>若KP许可，可以增加官僚/奉承</t>
  </si>
  <si>
    <t xml:space="preserve">人类学 </t>
  </si>
  <si>
    <t xml:space="preserve">察言观色 </t>
  </si>
  <si>
    <t xml:space="preserve">天文学 </t>
  </si>
  <si>
    <t xml:space="preserve">运动 </t>
  </si>
  <si>
    <t xml:space="preserve">枪械 </t>
  </si>
  <si>
    <t xml:space="preserve">官僚 </t>
  </si>
  <si>
    <t xml:space="preserve">文献查阅 </t>
  </si>
  <si>
    <t>任意1种社交能力，以及任意3种学术能力（包括用于学术研究的天文学和化学）</t>
  </si>
  <si>
    <t xml:space="preserve">下列任选2：天文学、生物学、化学、密码学、法医、地质学、物理学
</t>
  </si>
  <si>
    <t>请选择职业！</t>
  </si>
  <si>
    <t>你可以使用医学或一个社交能力来获取不对外公开的精神治疗记录，或进入不对外开放的精神病院病房。如果你是拥有行医执照的医生（医学2级或以上），你可以用同样的方法获取医疗记录，以及进入医院病房。你可以做一个难度为3的精神分析检定来进行“精神治疗类选法”。你只需耗费1点精神分析能力池点数使精神异常的对象稳定下来。你也能恢复自己的坚毅，但是每耗费１ 点精神分析点数只能恢复1点坚毅。</t>
  </si>
  <si>
    <t>在一个冒险剧本中可以使用一次。你“商店的库房里” 恰好有目前调查所需的一条信息或一件物品。旧书商会有一本记载了相关知识的书籍（比如一本回忆录或者私人出版的狂人札记）、银器商人会有一把精致的匕首，而进口商会有一副“来自刚果部落的怪异面具”。你需要使用相关能力（如艺术史或文献查阅）才能记起并找到这件物品。
如果你离开了你的藏品或店铺所在的城市，你可能无法使用该能力（即使能用，也颇费周折）。除非你有一个信得过的助手能找到你要的东西，并邮寄给你……而你也愿意耐心等待邮包在一周后抵达，同时眼看着邪教徒的力量不断壮大。
守秘人有权禁止你拥有强大的神器或效果卓著的魔法书之类的物品，也有权否决任何对物品的滥用或无理的要求。他同样有权给你的物品添加某些副作用。</t>
  </si>
  <si>
    <t>你能用考古学或一个合适的社交能力进入博物馆的库房或者接触文物，但是不能将它们带走。如果你有学位证书（考古学2+，且信誉等级3+），你可以进入大学图书馆的闭架书库。</t>
  </si>
  <si>
    <t>每当冒险中有一段较长的休息时间，你都可以将一项能力的能力池点数全部恢复。该能力应当代表你所擅长的艺术形式（如艺术、建筑学、手艺、摄影等），每次游戏聚会中使用不超过4次。这代表你把时间花在了排演曲目、打草稿画素描，或者诸如此类的行为上。如果艺术家没有时间或资源磨练技艺，守秘人不得允许他恢复能力池点数。</t>
  </si>
  <si>
    <t>你可以利用冒险中的任何休息时间将一项学术能力的能力池点数全部恢复，每次游戏聚会中使用不超过4次。这代表你把时间花在了阅读、检查笔记和档案，或者诸如此类的行为上。如果调查员没有时间或没有材料可以阅读，守秘人不得允许他恢复能力池点数。换言之，《克苏鲁迷踪》的冒险充斥着文献资料， 它们有时会引诱一位合格的作家告诉同伴：“你们去查看这座房子的其他部分吧，我要花一两个小时翻翻这些书籍了。”</t>
  </si>
  <si>
    <t>你能用神学或安抚获取公众很难接触到的教会记录。当然，单凭神职人员的身份无法让你浏览梵蒂冈图书馆的Z类藏品或者类似的秘密档案，但如果你愿意耗费足够多的点数，仁慈的守秘人或许会网开一面。如果你表明自己神职人员的身份、或身穿神职人员的传统服装， 你可以通过与一位教友（不得是其他调查员）进行攀谈，将一项社交能力的能力池点数完全恢复。每次游戏聚会中只可使用1次。在原旨风格中，精神分析不是你的本职技能。</t>
  </si>
  <si>
    <t>在藏匿、偷窃或追踪能力的能力池中拥有点数的罪犯，在为这三项能力做检定时，可以在掷骰之后耗用点数。掷骰后每耗费2点，检定结果加1。这仅适用于你不受干扰，并且没有被直接察觉的情况。该特殊能力不能在对抗检定中使用。你必须描述事情差点搞砸、而在千钧一发之际你又如何及时弥补，或者只是靠着好运才得以侥幸成功的过程。
黑手党成员可以免费获得1级语言（意大利语）能力。守秘人可自行决定是否用相似的规则处理类似犯罪组织的成员。</t>
  </si>
  <si>
    <t>无论从事什么行当，你都可以耗用信誉等级能力池来找到你的私人关系。这些联系人通常是亲戚、同学、校友，或者属于同一社会阶层的、与你类似的人物。</t>
  </si>
  <si>
    <t>你能用医学或安抚能力获取非公开的医疗记录。如果你隶属于医院、疗养院或其他机构，那么你无需检定就能使用安抚能力自动说服他人，使其允许你进出你工作机构中从药柜到冷冻室的任何区域。
你从能力池中每耗费1点急救点数可治疗3点健康。你对自己使用急救时，每耗费1点急救点数可治疗2点健康。你只需耗费1点急救点数就能稳定“重伤”。</t>
  </si>
  <si>
    <t>除了警觉和底层社会能力的一般用途，你还能用这两个能力看懂流浪汉们留下的暗记，弄清陌生小镇的当地情况。底层社会能力可以帮你找到同为流浪汉的联系人。你可使用的其他联系人包括共产党员
（例如“世界产业工人联盟”这类在各地开展工作的劳工组织）、友善的铁路护路工、慈善义工、某位容易听信他人的当地妇女等等。</t>
  </si>
  <si>
    <t>你能用安抚进入收藏旧报纸的资料库。在你自己的报社，同样的方法可以让资料员帮你找到相关的文章。记者同行也会向你透露小道消息，只要你不是他们的直接竞争对手。</t>
  </si>
  <si>
    <t>只要你的坚毅能力池点数大于0，你就可以从安抚能力池中耗费2点，让惊惧或行为反常的角色恢复平静。
如果你仍在服役，你可以使用任意一项社交能力获准进入本国的军事设施，只有被列为最高机密的基地除外。当然，若想不为人知地进入，那就要另作打算了。
如果你是战场老兵，除非你的坚毅或健康能力池点数低于-5，否则你的战斗能力（运动、枪械、搏击和近战武器）的检定难度以及对方的命中阈值不会+1。如果你是战场老兵，你的坚毅等级最高不得超过10；但是在面对某些威胁时，你的坚毅检定难度可以有所降低。</t>
  </si>
  <si>
    <t>你能用医学或安抚获取非公开的医疗记录，或进入不对外开放的病区。如果你隶属于医院、精神病院或其他机构，那么你无需检定就能使用安抚能力自动说服他人，使其允许你进出你工作机构中从药柜到冷冻室的任何区域。
你从能力池中每耗费1点急救点数可治疗3点健康。你对自己使用急救时，每耗费1点急救点数可治疗2点健康。你只需耗费1点急救点数就能稳定“重伤”。</t>
  </si>
  <si>
    <t xml:space="preserve">通俗风格特有：和精神病学家一样，你能把创建点数用于催眠能力， 并在游戏中使用该能力。在极端偏向通俗风格的游戏中，你甚至可能拥有真正的灵异能力，或与灵异人士有密切的合作。这一类“通灵人士”既可能是调查员同伴，也可能是洛夫克拉夫特小说里的那种无足轻重的非玩家角色。
</t>
  </si>
  <si>
    <t xml:space="preserve">你拥有或者可以经常使用一架飞机。它的大小和质量取决于你的信誉等级能力池。
</t>
  </si>
  <si>
    <t>如果你谨慎合理地使用警方交谈能力，不仅可以让警察放松戒备，还能查阅案件卷宗， 进入证物室，会见囚犯，以及接触其他普通市民无权接触的事物。但是，如果你僭越或干涉过度，那么除了警方交谈，你还需要一个出色的计划。
在你的职权范围内，只要耗费警方交谈能力池的点数（无论几点），你就能进入警方的实验室（进行法医调查和弹道测试，或进行某些外人不明就里的事情），甚至进入停尸房。</t>
  </si>
  <si>
    <t>拥有伪装或追踪能力的私家侦探可以在掷骰之后耗用这两个能力的能力池点数。掷骰后每耗费2点，检定结果加1。这仅适用于你不受干扰，并且没有被直接察觉的情况。该特殊能力不能在对抗检定中使用。你必须描述事情差点搞砸、而在千钧一发之际你又如何及时弥补，或者只是靠着好运才得以侥幸成功的过程。</t>
  </si>
  <si>
    <t>只要你的学术信誉清白无暇（信誉等级3+），你就能用官僚能力几乎不受限制地进入图书馆的闭架书库、研究实验室，甚至许多私人和政府的档案馆。
如果信誉等级大于等于5，代表你拥有终身教职。除非有确凿、公开的证据表明你道德败坏，否则无法解除你的教授职位。</t>
  </si>
  <si>
    <t>你能进入与你目前的研究相关的实验室，用信誉等级让同行或同事在其他实验室里帮你进行实验或搭建专门的仪器设备。如果有学位证书（信誉等级大于等于3，以下能力之一大于等于2：天文学、生物学、化学、地质学、物理学）， 你能进入大学图书馆的闭架书库。</t>
  </si>
  <si>
    <t>年收入范围</t>
  </si>
  <si>
    <t>赤贫</t>
  </si>
  <si>
    <t>流浪汉；衣衫褴褛；居无定所；接受救济；拾荒</t>
  </si>
  <si>
    <t xml:space="preserve"> $0-$150</t>
  </si>
  <si>
    <t>底层阶级</t>
  </si>
  <si>
    <t>门房，雇农，仆人；戴软帽；住廉价旅馆、公寓单人间，或与亲戚合住；坐公共汽车；吃罐头汤食或罐头豆子）</t>
  </si>
  <si>
    <t>$150-$250</t>
  </si>
  <si>
    <t>工人阶级</t>
  </si>
  <si>
    <t>在工厂上班或熟练的技工；帽子带沿；公寓的租户；坐公共汽车；大部分时间有肉吃</t>
  </si>
  <si>
    <t>$250-$1,250</t>
  </si>
  <si>
    <t>中产阶级下层</t>
  </si>
  <si>
    <t>职员或精良的技工；系领带；住老旧公寓；开旧车；周日餐桌食物不错</t>
  </si>
  <si>
    <t>$1,250-$1,500</t>
  </si>
  <si>
    <t>中产阶级</t>
  </si>
  <si>
    <t>管理者，资历较浅的专业从业人员；有一套考究的正装；住独栋平房或体面的公寓；开中档车辆；偶尔下餐馆；雇佣兼职的清洁女工</t>
  </si>
  <si>
    <t>$1,500-$3,000</t>
  </si>
  <si>
    <t>中产阶级上层</t>
  </si>
  <si>
    <t>专业从业人员；穿裁制的套装；住考究的别墅或公寓；开新车或有两辆车；无论是在家或在外，都吃精美的菜肴；有住家的仆佣</t>
  </si>
  <si>
    <t>$3,000-$10,000</t>
  </si>
  <si>
    <t>上层阶级</t>
  </si>
  <si>
    <t>不必工作就能维持生活；独一无二的专业从业人员；穿高级订制的套装；住别墅或顶层豪华公寓；开豪车；精肴美馔；有多位仆人</t>
  </si>
  <si>
    <t>$10,000-
$75,000</t>
  </si>
  <si>
    <t>非常富有</t>
  </si>
  <si>
    <t>有土地或有工业财富的士绅；有精美绝伦的珠宝；住庄园宅邸；有私人游艇和飞机；雇四星级私人大厨；有等级分明的家仆班子</t>
  </si>
  <si>
    <t>$75,000+</t>
  </si>
  <si>
    <t>枪械列表</t>
  </si>
  <si>
    <t>伤害调整值</t>
  </si>
  <si>
    <t>装弹数量</t>
  </si>
  <si>
    <t>价格</t>
  </si>
  <si>
    <t xml:space="preserve">韦伯利-斯科特警用.32ACP自动手枪（1906）  </t>
  </si>
  <si>
    <t>+0</t>
  </si>
  <si>
    <t>TT-3托卡列夫7.62毫米自动手枪（1933）</t>
  </si>
  <si>
    <t>苏联军用/警用手枪</t>
  </si>
  <si>
    <t>南部十四式8毫米自动手枪（1925）</t>
  </si>
  <si>
    <t>日本军用手枪</t>
  </si>
  <si>
    <t>毛瑟“扫把柄”7.62毫米自动手枪（1896）*</t>
  </si>
  <si>
    <t>雷明顿.41双管袖珍手枪（1866）</t>
  </si>
  <si>
    <t>若要在携带者身上发现此枪，检定难度+1；射程仅为近身范围</t>
  </si>
  <si>
    <t>柯尔特警用.32左轮枪（1907）</t>
  </si>
  <si>
    <t>美国警用手枪</t>
  </si>
  <si>
    <t>沃尔特PPK.32自动手枪（1931）</t>
  </si>
  <si>
    <t>雷明顿M34式.22LR运动步枪（1932）</t>
  </si>
  <si>
    <r>
      <rPr>
        <sz val="10"/>
        <color theme="1"/>
        <rFont val="微软雅黑"/>
        <family val="2"/>
        <charset val="134"/>
      </rPr>
      <t>曼利夏-卡尔卡诺M1891式6.5毫米手动卡宾枪（</t>
    </r>
    <r>
      <rPr>
        <sz val="10"/>
        <color theme="1"/>
        <rFont val="等线"/>
        <charset val="134"/>
        <scheme val="minor"/>
      </rPr>
      <t>1891）</t>
    </r>
  </si>
  <si>
    <t>意大利战斗步枪；该数据同样可用于日本的有坂四四式步骑枪</t>
  </si>
  <si>
    <t>温彻斯特M1912式20号口径唧筒霰弹枪（1912）</t>
  </si>
  <si>
    <t>雷明顿M32式20号口径霰弹枪（1932）</t>
  </si>
  <si>
    <t>双管</t>
  </si>
  <si>
    <t>威利12号口径信号枪（1882）</t>
  </si>
  <si>
    <t>+1</t>
  </si>
  <si>
    <t>仅在近身（无伤害加值）或近距离内才会造成伤害；如击中远距离以内的易燃物，会使其燃烧</t>
  </si>
  <si>
    <t>柯尔特M1911A1式.45 ACP自动手枪（1926）</t>
  </si>
  <si>
    <t>美国军用手枪；所有修理或解除卡壳的检定难度均-1</t>
  </si>
  <si>
    <t>鲁格P08式9毫米自动手枪（1908）</t>
  </si>
  <si>
    <t>德国军用手枪</t>
  </si>
  <si>
    <t>沃尔特P38式9毫米自动手枪（1938）</t>
  </si>
  <si>
    <t>FN勃朗宁大火力9毫米半自动手枪（1935）</t>
  </si>
  <si>
    <t>韦伯利1号MK4型.455 SAA左轮手枪（1915）</t>
  </si>
  <si>
    <t>英国军用手枪</t>
  </si>
  <si>
    <t xml:space="preserve">史密斯-威森.38特种左轮手枪（1902） </t>
  </si>
  <si>
    <t>史密斯-威森27型.357马格南左轮手枪（1927）</t>
  </si>
  <si>
    <t>汤普森M1921冲锋枪（1921）</t>
  </si>
  <si>
    <t>20、30、50、100</t>
  </si>
  <si>
    <t>施迈瑟MP28冲锋枪（1928）</t>
  </si>
  <si>
    <t>毛瑟98K式7.92毫米步枪（1935）</t>
  </si>
  <si>
    <t>德国战斗步枪；该数据同样可用于苏联莫辛-纳甘M10式7.62毫米战斗步枪（价格为100美元）</t>
  </si>
  <si>
    <t>M1加兰德.30-06步枪（1936）</t>
  </si>
  <si>
    <t>美国战斗步枪</t>
  </si>
  <si>
    <t>李-恩菲尔德3型.303步枪（1907）</t>
  </si>
  <si>
    <t>英国战斗步枪</t>
  </si>
  <si>
    <t>温彻斯特M1912式12口径唧筒霰弹枪（1912）</t>
  </si>
  <si>
    <t>雷明顿M32式12口径霰弹枪（1932）</t>
  </si>
  <si>
    <t>赫兰-赫兰“双管急速型”（Double Express）.600猎象步枪（1903）</t>
  </si>
  <si>
    <t>+2</t>
  </si>
  <si>
    <t>伤害值+2；下一回合，射击者必须通过难度为3的运动检定才能保持站立。这一动作将占据该回合的行动</t>
  </si>
  <si>
    <t>勃朗宁自动步枪（BAR）.303机枪（1918）</t>
  </si>
  <si>
    <t>伤害值+2；需使用双脚架，并以匍匐姿势射击</t>
  </si>
  <si>
    <t>/</t>
  </si>
  <si>
    <t>小型临时武器</t>
  </si>
  <si>
    <t>蒙皮短棒</t>
  </si>
  <si>
    <t>鞭子</t>
  </si>
  <si>
    <t>警棍</t>
  </si>
  <si>
    <t>小刀</t>
  </si>
  <si>
    <t>大型临时武器</t>
  </si>
  <si>
    <t>砍刀</t>
  </si>
  <si>
    <t>粗重的棍棒</t>
  </si>
  <si>
    <t>通火棍</t>
  </si>
  <si>
    <t>剑</t>
  </si>
  <si>
    <t>宗教信仰（可以是具体的教派，也可以是对仁慈、理性的神祇的一般性信仰）</t>
  </si>
  <si>
    <t>家族（尤其是家族荣誉、血统 纯正之类）</t>
  </si>
  <si>
    <t>人的尊严与价值</t>
  </si>
  <si>
    <t>科学的进步或理性的价值</t>
  </si>
  <si>
    <t>物理定律和科学认知的客观性</t>
  </si>
  <si>
    <t>善、美或“自然”（作为抽象概念 ）的价值</t>
  </si>
  <si>
    <t>人类禀有的内在之善</t>
  </si>
  <si>
    <t>道德原则</t>
  </si>
  <si>
    <t>美学或艺术的至高原则</t>
  </si>
  <si>
    <t>伊壁鸠鲁主义，不辜负自己的生命</t>
  </si>
  <si>
    <t>爱国情操与民族美德</t>
  </si>
  <si>
    <t>对故乡城镇的热爱</t>
  </si>
  <si>
    <t>。。。</t>
  </si>
  <si>
    <t>说明</t>
  </si>
  <si>
    <t>建议职业</t>
  </si>
  <si>
    <t>冒险</t>
  </si>
  <si>
    <t>没有什么比刺激的行动、战斗和奇怪的新经历更能吸引你了。你对肾上腺素的刺激渴求成瘾，如果只有怪物的脓水才能消除这种饥渴，那就去找吧！拒绝冒险、“谨慎行事”无异于承认你过去的整个生活毫无意义。</t>
  </si>
  <si>
    <t xml:space="preserve">罪犯、军人、灵异现象研究者和飞行员。
</t>
  </si>
  <si>
    <t xml:space="preserve">好古
</t>
  </si>
  <si>
    <t>只有投身于死寂的过去，你才觉得自己真正活着。发现历史的真相，或者只是欣赏一下古老而美丽的房屋与物品，就是活着的全部意义。你觉得，仅仅因为不太可口就漠视过去，可真是粗蛮而又短暂的现代品味。</t>
  </si>
  <si>
    <t xml:space="preserve">古玩家、考古学家、神职人员和教授。
</t>
  </si>
  <si>
    <t xml:space="preserve">自大
</t>
  </si>
  <si>
    <t>你最终的成功，将是最有力的证明——你一定会成功，因为只有你矢志必得。约束无名之辈的陈规陋习对你毫不适用，而那些家伙的退缩和畏惧也同样不会沾染在你的身上。</t>
  </si>
  <si>
    <t xml:space="preserve">精神病学家和科学家。
</t>
  </si>
  <si>
    <t xml:space="preserve">艺术的敏感
</t>
  </si>
  <si>
    <t>你已经意识到了世界那令人敬畏的、超自然的本质，而这正是你希望用艺术的手段再现的东西。你必须追寻缪斯的足迹，就像一团在她手中塑造成型的粘土。你对灵感的渴求不能被任何事情阻断，尤其是世俗的烦扰。</t>
  </si>
  <si>
    <t xml:space="preserve">艺术家、作家和风雅子弟。
</t>
  </si>
  <si>
    <t xml:space="preserve">坏运气
</t>
  </si>
  <si>
    <t>这些事总是一再找上你，在你挖出一个小雕像、借宿时睡错地方或决定抢劫一个可怕的老头之后，你的运气就开始变差了。坏运气本质上相当于受到诅咒（第74页解释了如何将坏运气或受到诅咒与动力的相关规则配合使用）。</t>
  </si>
  <si>
    <t xml:space="preserve">罪犯和流浪汉。
</t>
  </si>
  <si>
    <t xml:space="preserve">好奇
</t>
  </si>
  <si>
    <t>每当遇到神秘事件时，你总是忍不住进行调查。去他妈的危险，有什么事情不对劲，你一定得弄明白！如果放着不管，你绝对没法安心。</t>
  </si>
  <si>
    <t>记者、灵异现象研究者、警探、私家侦探和科学家。</t>
  </si>
  <si>
    <t xml:space="preserve">责任
</t>
  </si>
  <si>
    <t>你明知这么做危险而且鲁莽，但总得有人走下那些台阶，或去捣毁那个邪教团体。那个人就是你。如果你袖手旁观，事情只会继续恶化。你若不去做，还有谁能行？那些朝九晚五、无所事事，数着日子等着领退休金的懒人？别说笑了。</t>
  </si>
  <si>
    <t xml:space="preserve">神职人员、医生、军人和警探。
</t>
  </si>
  <si>
    <t xml:space="preserve">无聊
</t>
  </si>
  <si>
    <t>也许有一段经历你再也无法重获，也许有一段冒险你在通俗小说里读过。别的一切事情你都尝试过了，全都没有用，没有什么还能让你的心真正挂怀。即使那件事会让你丧命，那又有什么关系？至少它带来了变化。</t>
  </si>
  <si>
    <t xml:space="preserve">艺术家、风雅子弟和军人。
</t>
  </si>
  <si>
    <t xml:space="preserve">追随者
</t>
  </si>
  <si>
    <t>这其实不是你的主意，你希望报告里能提到这点。但是某个对你来说很重要的人走进了那条隧道。你最好跟上，才好保证对方安然无恙，或者确保下次他们不会让别人守着那部户外电话。</t>
  </si>
  <si>
    <t xml:space="preserve">医生、军人和警探。
</t>
  </si>
  <si>
    <t xml:space="preserve">血脉相承
</t>
  </si>
  <si>
    <t>说实话，你不明白自己为什么不断回到腐朽的墓穴，或是仔细研读古代文本。但是你的家族里世代流传着古怪的行为，外人显然无法理解。</t>
  </si>
  <si>
    <t xml:space="preserve">古玩家和风雅子弟。
</t>
  </si>
  <si>
    <t xml:space="preserve">复仇
</t>
  </si>
  <si>
    <t>有什么东西伤害了你或你在意的人。因此，你必须不惜一切代价毁灭它、焚烧它、打倒它、揭露它……任何能帮助你实现复仇的线索，你都必须追查到底。</t>
  </si>
  <si>
    <t xml:space="preserve">罪犯和私家侦探。
</t>
  </si>
  <si>
    <t xml:space="preserve">学术研究
</t>
  </si>
  <si>
    <t>真正的学者就应该揭示世界的真相。因此，你把全部时间耗费在图书馆里；因此，你前往偏远、孤立的地区追寻邪教团体唯一的幸存者；因此，你学习人类的发声器官无法诵读的语言。无论是为了寻求终身教职、获得同行的赞许，或者只为了增广见闻所带来的满足感，你探究的目的都是为了发现表象之下隐藏的那个共通模式。</t>
  </si>
  <si>
    <t xml:space="preserve">考古学家、教授和科学家。
</t>
  </si>
  <si>
    <t xml:space="preserve">突然的惊愕
</t>
  </si>
  <si>
    <t>世界的面纱被揭开了，你再也没法相信耶稣基督的教诲和罗斯福总统的许诺。也许是你发现去世很久的曾祖父还在你家的地下室里举办食人盛宴，也许是你在突袭印斯茅斯时见到了什么东西，或者只是意外地遇见了“自外界而来者”。无论是哪一种情况，你都最好继续往前走，因为再也没有回头路了。
玩家需要说明引起“突然惊愕”的具体事物，除非他希望自己的调查员罹患失忆（歇斯底里性失忆、创伤性失忆或伊斯人导致的失忆）。如果选择罹患失忆，守秘人便可以在游戏中运用各种“残忍”的手段，因此非常推荐这一选择。</t>
  </si>
  <si>
    <t xml:space="preserve">灵异现象研究者，不过任何职业其实都适合。
</t>
  </si>
  <si>
    <t xml:space="preserve">认知的渴求
</t>
  </si>
  <si>
    <t>你必须——你必须！——知晓宇宙的秘密！这不是聊胜于无的论文脚注，而是通往真相的征途。你无意于增进人类的认知：平庸大众既不愿也不配了解这个世界背后的东西。只有你（或许还有少数志同道合的伙伴）热切地渴望掌握这类秘密，只有你愿不惜一切代价获得真相。</t>
  </si>
  <si>
    <t xml:space="preserve">考古学家、灵异现象研究者和教授。
</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</si>
</sst>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24" formatCode="\$#,##0_);[Red]\(\$#,##0\)"/>
    <numFmt numFmtId="176" formatCode="0_ "/>
    <numFmt numFmtId="177" formatCode="0;[Red]0"/>
  </numFmts>
  <fonts count="22">
    <font>
      <sz val="11"/>
      <color theme="1"/>
      <name val="等线"/>
      <charset val="134"/>
      <scheme val="minor"/>
    </font>
    <font>
      <b/>
      <sz val="11"/>
      <color theme="0"/>
      <name val="微软雅黑"/>
      <family val="2"/>
      <charset val="134"/>
    </font>
    <font>
      <sz val="10"/>
      <color theme="1"/>
      <name val="微软雅黑"/>
      <family val="2"/>
      <charset val="134"/>
    </font>
    <font>
      <sz val="11"/>
      <color theme="1"/>
      <name val="微软雅黑"/>
      <family val="2"/>
      <charset val="134"/>
    </font>
    <font>
      <b/>
      <sz val="11"/>
      <name val="微软雅黑"/>
      <family val="2"/>
      <charset val="134"/>
    </font>
    <font>
      <sz val="11"/>
      <color theme="1"/>
      <name val="等线"/>
      <charset val="134"/>
      <scheme val="minor"/>
    </font>
    <font>
      <sz val="7"/>
      <color theme="1"/>
      <name val="Times New Roman"/>
      <family val="1"/>
    </font>
    <font>
      <sz val="11"/>
      <color theme="0"/>
      <name val="等线"/>
      <charset val="134"/>
      <scheme val="minor"/>
    </font>
    <font>
      <sz val="10"/>
      <color theme="1"/>
      <name val="等线"/>
      <charset val="134"/>
      <scheme val="minor"/>
    </font>
    <font>
      <b/>
      <sz val="11"/>
      <color theme="1"/>
      <name val="微软雅黑"/>
      <family val="2"/>
      <charset val="134"/>
    </font>
    <font>
      <sz val="11"/>
      <color theme="2" tint="-9.9978637043366805E-2"/>
      <name val="微软雅黑"/>
      <family val="2"/>
      <charset val="134"/>
    </font>
    <font>
      <sz val="11"/>
      <color rgb="FFFF0000"/>
      <name val="微软雅黑"/>
      <family val="2"/>
      <charset val="134"/>
    </font>
    <font>
      <b/>
      <sz val="12"/>
      <color theme="0"/>
      <name val="微软雅黑"/>
      <family val="2"/>
      <charset val="134"/>
    </font>
    <font>
      <sz val="11"/>
      <color theme="3"/>
      <name val="微软雅黑"/>
      <family val="2"/>
      <charset val="134"/>
    </font>
    <font>
      <sz val="9"/>
      <color rgb="FF7030A0"/>
      <name val="微软雅黑"/>
      <family val="2"/>
      <charset val="134"/>
    </font>
    <font>
      <sz val="11"/>
      <color theme="9" tint="-0.499984740745262"/>
      <name val="微软雅黑"/>
      <family val="2"/>
      <charset val="134"/>
    </font>
    <font>
      <sz val="11"/>
      <color theme="0"/>
      <name val="微软雅黑"/>
      <family val="2"/>
      <charset val="134"/>
    </font>
    <font>
      <sz val="11"/>
      <name val="微软雅黑"/>
      <family val="2"/>
      <charset val="134"/>
    </font>
    <font>
      <sz val="11"/>
      <color theme="1"/>
      <name val="等线"/>
      <charset val="134"/>
    </font>
    <font>
      <b/>
      <sz val="9"/>
      <name val="宋体"/>
      <family val="3"/>
      <charset val="134"/>
    </font>
    <font>
      <sz val="9"/>
      <name val="宋体"/>
      <family val="3"/>
      <charset val="134"/>
    </font>
    <font>
      <sz val="9"/>
      <name val="等线"/>
      <family val="3"/>
      <charset val="134"/>
      <scheme val="minor"/>
    </font>
  </fonts>
  <fills count="8">
    <fill>
      <patternFill patternType="none"/>
    </fill>
    <fill>
      <patternFill patternType="gray125"/>
    </fill>
    <fill>
      <patternFill patternType="solid">
        <fgColor theme="9" tint="-0.249977111117893"/>
        <bgColor indexed="64"/>
      </patternFill>
    </fill>
    <fill>
      <patternFill patternType="solid">
        <fgColor theme="9" tint="0.79995117038483843"/>
        <bgColor indexed="64"/>
      </patternFill>
    </fill>
    <fill>
      <patternFill patternType="solid">
        <fgColor theme="9"/>
        <bgColor indexed="64"/>
      </patternFill>
    </fill>
    <fill>
      <patternFill patternType="solid">
        <fgColor theme="4"/>
        <bgColor indexed="64"/>
      </patternFill>
    </fill>
    <fill>
      <patternFill patternType="solid">
        <fgColor theme="0"/>
        <bgColor indexed="64"/>
      </patternFill>
    </fill>
    <fill>
      <patternFill patternType="solid">
        <fgColor theme="9" tint="0.79989013336588644"/>
        <bgColor indexed="64"/>
      </patternFill>
    </fill>
  </fills>
  <borders count="46">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style="thin">
        <color auto="1"/>
      </left>
      <right/>
      <top style="thin">
        <color auto="1"/>
      </top>
      <bottom style="thin">
        <color auto="1"/>
      </bottom>
      <diagonal/>
    </border>
    <border>
      <left style="thin">
        <color auto="1"/>
      </left>
      <right style="thin">
        <color auto="1"/>
      </right>
      <top style="medium">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bottom/>
      <diagonal/>
    </border>
    <border>
      <left/>
      <right style="thin">
        <color auto="1"/>
      </right>
      <top/>
      <bottom style="medium">
        <color auto="1"/>
      </bottom>
      <diagonal/>
    </border>
    <border>
      <left/>
      <right style="medium">
        <color auto="1"/>
      </right>
      <top style="medium">
        <color auto="1"/>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medium">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right/>
      <top style="medium">
        <color auto="1"/>
      </top>
      <bottom style="medium">
        <color auto="1"/>
      </bottom>
      <diagonal/>
    </border>
    <border>
      <left/>
      <right style="medium">
        <color auto="1"/>
      </right>
      <top style="thin">
        <color auto="1"/>
      </top>
      <bottom style="thin">
        <color auto="1"/>
      </bottom>
      <diagonal/>
    </border>
  </borders>
  <cellStyleXfs count="3">
    <xf numFmtId="0" fontId="0" fillId="0" borderId="0">
      <alignment vertical="center"/>
    </xf>
    <xf numFmtId="0" fontId="7" fillId="5" borderId="0" applyNumberFormat="0" applyBorder="0" applyAlignment="0" applyProtection="0">
      <alignment vertical="center"/>
    </xf>
    <xf numFmtId="0" fontId="5" fillId="0" borderId="0">
      <alignment vertical="center"/>
    </xf>
  </cellStyleXfs>
  <cellXfs count="296">
    <xf numFmtId="0" fontId="0" fillId="0" borderId="0" xfId="0">
      <alignment vertical="center"/>
    </xf>
    <xf numFmtId="0" fontId="1" fillId="2" borderId="1" xfId="0" applyFont="1" applyFill="1" applyBorder="1" applyAlignment="1" applyProtection="1">
      <alignment horizontal="center" vertical="center" wrapText="1"/>
    </xf>
    <xf numFmtId="0" fontId="1" fillId="2" borderId="2" xfId="0" applyFont="1" applyFill="1" applyBorder="1" applyAlignment="1" applyProtection="1">
      <alignment horizontal="center" vertical="center" wrapText="1"/>
    </xf>
    <xf numFmtId="0" fontId="1" fillId="2" borderId="3" xfId="0" applyFont="1" applyFill="1" applyBorder="1" applyAlignment="1" applyProtection="1">
      <alignment horizontal="center" vertical="center" wrapText="1"/>
    </xf>
    <xf numFmtId="0" fontId="2" fillId="0" borderId="4" xfId="0" applyFont="1" applyBorder="1" applyAlignment="1" applyProtection="1">
      <alignment horizontal="center" vertical="center" wrapText="1"/>
      <protection locked="0"/>
    </xf>
    <xf numFmtId="0" fontId="2" fillId="0" borderId="0" xfId="0" applyFont="1" applyBorder="1" applyAlignment="1" applyProtection="1">
      <alignment horizontal="center" vertical="center" wrapText="1"/>
      <protection locked="0"/>
    </xf>
    <xf numFmtId="0" fontId="2" fillId="0" borderId="0" xfId="0" applyFont="1" applyBorder="1" applyAlignment="1" applyProtection="1">
      <alignment horizontal="left" vertical="center" wrapText="1"/>
      <protection locked="0"/>
    </xf>
    <xf numFmtId="0" fontId="2" fillId="0" borderId="5" xfId="0" applyFont="1" applyBorder="1" applyAlignment="1" applyProtection="1">
      <alignment horizontal="left" vertical="center" wrapText="1"/>
      <protection locked="0"/>
    </xf>
    <xf numFmtId="0" fontId="2" fillId="3" borderId="4" xfId="0" applyFont="1" applyFill="1" applyBorder="1" applyAlignment="1" applyProtection="1">
      <alignment horizontal="center" vertical="center" wrapText="1"/>
      <protection locked="0"/>
    </xf>
    <xf numFmtId="0" fontId="2" fillId="3" borderId="0" xfId="0" applyFont="1" applyFill="1" applyBorder="1" applyAlignment="1" applyProtection="1">
      <alignment horizontal="center" vertical="center" wrapText="1"/>
      <protection locked="0"/>
    </xf>
    <xf numFmtId="0" fontId="2" fillId="3" borderId="0" xfId="0" applyFont="1" applyFill="1" applyBorder="1" applyAlignment="1" applyProtection="1">
      <alignment horizontal="left" vertical="center" wrapText="1"/>
      <protection locked="0"/>
    </xf>
    <xf numFmtId="0" fontId="2" fillId="3" borderId="5" xfId="0" applyFont="1" applyFill="1" applyBorder="1" applyAlignment="1" applyProtection="1">
      <alignment horizontal="left" vertical="center" wrapText="1"/>
      <protection locked="0"/>
    </xf>
    <xf numFmtId="0" fontId="2" fillId="3" borderId="6" xfId="0" applyFont="1" applyFill="1" applyBorder="1" applyAlignment="1" applyProtection="1">
      <alignment horizontal="center" vertical="center" wrapText="1"/>
      <protection locked="0"/>
    </xf>
    <xf numFmtId="0" fontId="2" fillId="3" borderId="7" xfId="0" applyFont="1" applyFill="1" applyBorder="1" applyAlignment="1" applyProtection="1">
      <alignment horizontal="center" vertical="center" wrapText="1"/>
      <protection locked="0"/>
    </xf>
    <xf numFmtId="0" fontId="2" fillId="3" borderId="7" xfId="0" applyFont="1" applyFill="1" applyBorder="1" applyAlignment="1" applyProtection="1">
      <alignment horizontal="left" vertical="center" wrapText="1"/>
      <protection locked="0"/>
    </xf>
    <xf numFmtId="0" fontId="2" fillId="3" borderId="8" xfId="0" applyFont="1" applyFill="1" applyBorder="1" applyAlignment="1" applyProtection="1">
      <alignment horizontal="left" vertical="center" wrapText="1"/>
      <protection locked="0"/>
    </xf>
    <xf numFmtId="0" fontId="1" fillId="2" borderId="9" xfId="0" applyFont="1" applyFill="1" applyBorder="1" applyAlignment="1" applyProtection="1">
      <alignment horizontal="center" vertical="center" wrapText="1"/>
    </xf>
    <xf numFmtId="0" fontId="2" fillId="0" borderId="10" xfId="0" applyFont="1" applyBorder="1" applyAlignment="1" applyProtection="1">
      <alignment horizontal="center" vertical="center" wrapText="1"/>
      <protection locked="0"/>
    </xf>
    <xf numFmtId="0" fontId="2" fillId="3" borderId="10" xfId="0" applyFont="1" applyFill="1" applyBorder="1" applyAlignment="1" applyProtection="1">
      <alignment horizontal="center" vertical="center" wrapText="1"/>
      <protection locked="0"/>
    </xf>
    <xf numFmtId="0" fontId="2" fillId="3" borderId="11" xfId="0" applyFont="1" applyFill="1" applyBorder="1" applyAlignment="1" applyProtection="1">
      <alignment horizontal="center" vertical="center" wrapText="1"/>
      <protection locked="0"/>
    </xf>
    <xf numFmtId="0" fontId="2" fillId="0" borderId="5" xfId="0" applyFont="1" applyFill="1" applyBorder="1" applyAlignment="1" applyProtection="1">
      <alignment horizontal="left" vertical="center" wrapText="1"/>
      <protection locked="0"/>
    </xf>
    <xf numFmtId="0" fontId="0" fillId="0" borderId="0" xfId="0" applyAlignment="1">
      <alignment vertical="center" wrapText="1"/>
    </xf>
    <xf numFmtId="24" fontId="0" fillId="0" borderId="0" xfId="0" applyNumberFormat="1" applyAlignment="1">
      <alignment vertical="center" wrapText="1"/>
    </xf>
    <xf numFmtId="0" fontId="3" fillId="0" borderId="0" xfId="0" applyFont="1" applyAlignment="1">
      <alignment horizontal="center" vertical="center"/>
    </xf>
    <xf numFmtId="0" fontId="4" fillId="4" borderId="15" xfId="0" applyFont="1" applyFill="1" applyBorder="1" applyAlignment="1" applyProtection="1">
      <alignment horizontal="center" vertical="center" wrapText="1"/>
    </xf>
    <xf numFmtId="0" fontId="4" fillId="4" borderId="16" xfId="0" applyFont="1" applyFill="1" applyBorder="1" applyAlignment="1" applyProtection="1">
      <alignment horizontal="center" vertical="center"/>
    </xf>
    <xf numFmtId="0" fontId="4" fillId="4" borderId="16" xfId="0" applyFont="1" applyFill="1" applyBorder="1" applyAlignment="1" applyProtection="1">
      <alignment horizontal="center" vertical="center" wrapText="1"/>
    </xf>
    <xf numFmtId="0" fontId="4" fillId="4" borderId="17" xfId="0" applyFont="1" applyFill="1" applyBorder="1" applyAlignment="1" applyProtection="1">
      <alignment horizontal="center" vertical="center" wrapText="1"/>
    </xf>
    <xf numFmtId="0" fontId="2" fillId="0" borderId="15" xfId="0" applyFont="1" applyBorder="1" applyAlignment="1" applyProtection="1">
      <alignment horizontal="left" vertical="center" wrapText="1"/>
      <protection locked="0"/>
    </xf>
    <xf numFmtId="0" fontId="2" fillId="0" borderId="16" xfId="0" applyFont="1" applyBorder="1" applyAlignment="1" applyProtection="1">
      <alignment horizontal="center" vertical="center" wrapText="1"/>
      <protection locked="0"/>
    </xf>
    <xf numFmtId="0" fontId="2" fillId="0" borderId="17" xfId="0" applyFont="1" applyBorder="1" applyAlignment="1" applyProtection="1">
      <alignment horizontal="left" vertical="center" wrapText="1"/>
      <protection locked="0"/>
    </xf>
    <xf numFmtId="0" fontId="2" fillId="3" borderId="15" xfId="0" applyFont="1" applyFill="1" applyBorder="1" applyAlignment="1" applyProtection="1">
      <alignment horizontal="left" vertical="center" wrapText="1"/>
      <protection locked="0"/>
    </xf>
    <xf numFmtId="0" fontId="2" fillId="3" borderId="16" xfId="0" applyFont="1" applyFill="1" applyBorder="1" applyAlignment="1" applyProtection="1">
      <alignment horizontal="center" vertical="center" wrapText="1"/>
      <protection locked="0"/>
    </xf>
    <xf numFmtId="0" fontId="2" fillId="3" borderId="17" xfId="0" applyFont="1" applyFill="1" applyBorder="1" applyAlignment="1" applyProtection="1">
      <alignment horizontal="left" vertical="center" wrapText="1"/>
      <protection locked="0"/>
    </xf>
    <xf numFmtId="0" fontId="2" fillId="0" borderId="18" xfId="0" applyFont="1" applyBorder="1" applyAlignment="1" applyProtection="1">
      <alignment horizontal="left" vertical="center" wrapText="1"/>
      <protection locked="0"/>
    </xf>
    <xf numFmtId="0" fontId="2" fillId="0" borderId="19" xfId="0" applyFont="1" applyBorder="1" applyAlignment="1" applyProtection="1">
      <alignment horizontal="center" vertical="center" wrapText="1"/>
      <protection locked="0"/>
    </xf>
    <xf numFmtId="0" fontId="2" fillId="0" borderId="20" xfId="0" applyFont="1" applyBorder="1" applyAlignment="1" applyProtection="1">
      <alignment horizontal="left" vertical="center" wrapText="1"/>
      <protection locked="0"/>
    </xf>
    <xf numFmtId="0" fontId="0" fillId="0" borderId="10" xfId="0" applyFill="1" applyBorder="1" applyAlignment="1">
      <alignment horizontal="center" vertical="center"/>
    </xf>
    <xf numFmtId="0" fontId="0" fillId="0" borderId="10" xfId="0" applyBorder="1" applyAlignment="1">
      <alignment horizontal="center" vertical="center"/>
    </xf>
    <xf numFmtId="0" fontId="0" fillId="0" borderId="21" xfId="0" applyBorder="1" applyAlignment="1">
      <alignment horizontal="center" vertical="center"/>
    </xf>
    <xf numFmtId="0" fontId="0" fillId="0" borderId="0" xfId="0" applyFont="1" applyAlignment="1">
      <alignment vertical="center" wrapText="1"/>
    </xf>
    <xf numFmtId="0" fontId="0" fillId="0" borderId="11" xfId="0" applyBorder="1" applyAlignment="1">
      <alignment horizontal="center" vertical="center"/>
    </xf>
    <xf numFmtId="0" fontId="0" fillId="0" borderId="22" xfId="0" applyBorder="1" applyAlignment="1">
      <alignment horizontal="center" vertical="center"/>
    </xf>
    <xf numFmtId="0" fontId="5" fillId="0" borderId="0" xfId="2">
      <alignment vertical="center"/>
    </xf>
    <xf numFmtId="0" fontId="0" fillId="0" borderId="0" xfId="2" applyFont="1" applyBorder="1" applyAlignment="1">
      <alignment horizontal="center" vertical="center"/>
    </xf>
    <xf numFmtId="0" fontId="0" fillId="0" borderId="0" xfId="2" applyFont="1" applyBorder="1">
      <alignment vertical="center"/>
    </xf>
    <xf numFmtId="0" fontId="5" fillId="0" borderId="0" xfId="2" applyBorder="1">
      <alignment vertical="center"/>
    </xf>
    <xf numFmtId="0" fontId="5" fillId="0" borderId="0" xfId="2" applyBorder="1" applyAlignment="1">
      <alignment horizontal="right" vertical="center"/>
    </xf>
    <xf numFmtId="0" fontId="0" fillId="0" borderId="0" xfId="2" applyFont="1" applyBorder="1" applyAlignment="1">
      <alignment horizontal="left" vertical="center"/>
    </xf>
    <xf numFmtId="0" fontId="0" fillId="0" borderId="0" xfId="0" applyFont="1">
      <alignment vertical="center"/>
    </xf>
    <xf numFmtId="0" fontId="5" fillId="0" borderId="0" xfId="2" applyBorder="1" applyAlignment="1">
      <alignment horizontal="center" vertical="center"/>
    </xf>
    <xf numFmtId="0" fontId="5" fillId="0" borderId="0" xfId="2" applyBorder="1" applyAlignment="1">
      <alignment horizontal="left" vertical="center"/>
    </xf>
    <xf numFmtId="0" fontId="0" fillId="0" borderId="0" xfId="0" applyFont="1" applyBorder="1" applyAlignment="1">
      <alignment vertical="center"/>
    </xf>
    <xf numFmtId="0" fontId="0" fillId="0" borderId="0" xfId="0" applyBorder="1" applyAlignment="1">
      <alignment vertical="center"/>
    </xf>
    <xf numFmtId="0" fontId="3" fillId="0" borderId="23" xfId="0" applyFont="1" applyBorder="1" applyAlignment="1" applyProtection="1">
      <alignment vertical="center"/>
      <protection locked="0"/>
    </xf>
    <xf numFmtId="0" fontId="0" fillId="0" borderId="0" xfId="2" applyNumberFormat="1" applyFont="1" applyBorder="1" applyAlignment="1">
      <alignment horizontal="left" vertical="center"/>
    </xf>
    <xf numFmtId="0" fontId="3" fillId="3" borderId="23" xfId="0" applyFont="1" applyFill="1" applyBorder="1" applyAlignment="1" applyProtection="1">
      <alignment vertical="center"/>
      <protection locked="0"/>
    </xf>
    <xf numFmtId="0" fontId="6" fillId="0" borderId="0" xfId="2" applyFont="1">
      <alignment vertical="center"/>
    </xf>
    <xf numFmtId="0" fontId="0" fillId="0" borderId="0" xfId="2" applyFont="1">
      <alignment vertical="center"/>
    </xf>
    <xf numFmtId="0" fontId="0" fillId="0" borderId="0" xfId="0" applyFont="1" applyFill="1" applyBorder="1" applyAlignment="1">
      <alignment vertical="center"/>
    </xf>
    <xf numFmtId="0" fontId="3" fillId="3" borderId="24" xfId="0" applyFont="1" applyFill="1" applyBorder="1" applyAlignment="1" applyProtection="1">
      <alignment vertical="center"/>
      <protection locked="0"/>
    </xf>
    <xf numFmtId="0" fontId="7" fillId="5" borderId="0" xfId="1" applyBorder="1" applyAlignment="1">
      <alignment horizontal="center" vertical="center"/>
    </xf>
    <xf numFmtId="0" fontId="0" fillId="0" borderId="0" xfId="0" applyBorder="1" applyAlignment="1">
      <alignment horizontal="center" vertical="center"/>
    </xf>
    <xf numFmtId="0" fontId="2" fillId="0" borderId="0" xfId="0" applyFont="1" applyBorder="1" applyAlignment="1" applyProtection="1">
      <alignment horizontal="center" vertical="center"/>
      <protection locked="0"/>
    </xf>
    <xf numFmtId="0" fontId="3" fillId="0" borderId="24" xfId="0" applyFont="1" applyBorder="1" applyAlignment="1" applyProtection="1">
      <alignment vertical="center"/>
      <protection locked="0"/>
    </xf>
    <xf numFmtId="0" fontId="8" fillId="0" borderId="0" xfId="0" applyFont="1" applyFill="1" applyBorder="1" applyAlignment="1">
      <alignment horizontal="center" vertical="center"/>
    </xf>
    <xf numFmtId="0" fontId="3" fillId="0" borderId="16" xfId="0" applyFont="1" applyBorder="1" applyAlignment="1">
      <alignment horizontal="center" vertical="center"/>
    </xf>
    <xf numFmtId="0" fontId="10" fillId="0" borderId="16" xfId="0" applyFont="1" applyBorder="1" applyAlignment="1">
      <alignment horizontal="center" vertical="center"/>
    </xf>
    <xf numFmtId="0" fontId="3" fillId="0" borderId="19" xfId="0" applyFont="1" applyBorder="1" applyAlignment="1">
      <alignment horizontal="center" vertical="center"/>
    </xf>
    <xf numFmtId="0" fontId="10" fillId="0" borderId="17" xfId="0" applyFont="1" applyBorder="1" applyAlignment="1">
      <alignment horizontal="center" vertical="center"/>
    </xf>
    <xf numFmtId="0" fontId="3" fillId="0" borderId="17" xfId="0" applyFont="1" applyBorder="1" applyAlignment="1">
      <alignment horizontal="center" vertical="center"/>
    </xf>
    <xf numFmtId="0" fontId="3" fillId="0" borderId="17" xfId="0" applyFont="1" applyBorder="1" applyAlignment="1">
      <alignment vertical="center"/>
    </xf>
    <xf numFmtId="0" fontId="3" fillId="0" borderId="20" xfId="0" applyFont="1" applyBorder="1" applyAlignment="1">
      <alignment horizontal="center" vertical="center"/>
    </xf>
    <xf numFmtId="0" fontId="7" fillId="2" borderId="9" xfId="0" applyFont="1" applyFill="1" applyBorder="1" applyAlignment="1">
      <alignment horizontal="center" vertical="center"/>
    </xf>
    <xf numFmtId="0" fontId="7" fillId="2" borderId="30" xfId="0" applyFont="1" applyFill="1" applyBorder="1" applyAlignment="1">
      <alignment horizontal="center" vertical="center"/>
    </xf>
    <xf numFmtId="0" fontId="0" fillId="0" borderId="0" xfId="0" applyAlignment="1">
      <alignment horizontal="center" vertical="center"/>
    </xf>
    <xf numFmtId="0" fontId="3" fillId="6" borderId="16" xfId="0" applyFont="1" applyFill="1" applyBorder="1" applyAlignment="1" applyProtection="1">
      <alignment horizontal="center" vertical="center"/>
      <protection locked="0"/>
    </xf>
    <xf numFmtId="0" fontId="3" fillId="7" borderId="16" xfId="0" applyFont="1" applyFill="1" applyBorder="1" applyAlignment="1" applyProtection="1">
      <alignment horizontal="center" vertical="center"/>
      <protection locked="0"/>
    </xf>
    <xf numFmtId="0" fontId="3" fillId="7" borderId="16" xfId="0" applyFont="1" applyFill="1" applyBorder="1" applyAlignment="1" applyProtection="1">
      <alignment vertical="center"/>
      <protection locked="0"/>
    </xf>
    <xf numFmtId="0" fontId="3" fillId="7" borderId="16" xfId="0" applyFont="1" applyFill="1" applyBorder="1" applyAlignment="1">
      <alignment horizontal="center" vertical="center"/>
    </xf>
    <xf numFmtId="0" fontId="3" fillId="6" borderId="19" xfId="0" applyFont="1" applyFill="1" applyBorder="1" applyAlignment="1">
      <alignment horizontal="center" vertical="center"/>
    </xf>
    <xf numFmtId="0" fontId="4" fillId="4" borderId="17" xfId="0" applyFont="1" applyFill="1" applyBorder="1" applyAlignment="1" applyProtection="1">
      <alignment horizontal="center" vertical="center"/>
    </xf>
    <xf numFmtId="0" fontId="3" fillId="0" borderId="16" xfId="0" applyFont="1" applyBorder="1" applyAlignment="1" applyProtection="1">
      <alignment horizontal="center" vertical="center"/>
      <protection locked="0"/>
    </xf>
    <xf numFmtId="0" fontId="3" fillId="0" borderId="16" xfId="0" applyFont="1" applyBorder="1" applyAlignment="1" applyProtection="1">
      <alignment horizontal="center" vertical="center"/>
    </xf>
    <xf numFmtId="0" fontId="3" fillId="0" borderId="17" xfId="0" applyFont="1" applyBorder="1" applyAlignment="1" applyProtection="1">
      <alignment horizontal="center" vertical="center"/>
      <protection locked="0"/>
    </xf>
    <xf numFmtId="0" fontId="3" fillId="3" borderId="16" xfId="0" applyFont="1" applyFill="1" applyBorder="1" applyAlignment="1" applyProtection="1">
      <alignment horizontal="center" vertical="center"/>
      <protection locked="0"/>
    </xf>
    <xf numFmtId="0" fontId="3" fillId="3" borderId="16" xfId="0" applyFont="1" applyFill="1" applyBorder="1" applyAlignment="1" applyProtection="1">
      <alignment horizontal="center" vertical="center"/>
    </xf>
    <xf numFmtId="0" fontId="3" fillId="3" borderId="17" xfId="0" applyFont="1" applyFill="1" applyBorder="1" applyAlignment="1" applyProtection="1">
      <alignment horizontal="center" vertical="center"/>
      <protection locked="0"/>
    </xf>
    <xf numFmtId="0" fontId="3" fillId="0" borderId="19" xfId="0" applyFont="1" applyBorder="1" applyAlignment="1" applyProtection="1">
      <alignment horizontal="center" vertical="center"/>
      <protection locked="0"/>
    </xf>
    <xf numFmtId="0" fontId="3" fillId="0" borderId="19" xfId="0" applyFont="1" applyBorder="1" applyAlignment="1" applyProtection="1">
      <alignment horizontal="center" vertical="center"/>
    </xf>
    <xf numFmtId="0" fontId="3" fillId="0" borderId="20" xfId="0" applyFont="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3" fillId="7" borderId="16" xfId="0" applyFont="1" applyFill="1" applyBorder="1" applyAlignment="1" applyProtection="1">
      <alignment vertical="center"/>
    </xf>
    <xf numFmtId="0" fontId="3" fillId="0" borderId="0" xfId="0" applyFont="1" applyBorder="1" applyAlignment="1">
      <alignment vertical="center"/>
    </xf>
    <xf numFmtId="176" fontId="3" fillId="0" borderId="16" xfId="0" applyNumberFormat="1" applyFont="1" applyBorder="1" applyAlignment="1" applyProtection="1">
      <alignment horizontal="center" vertical="center"/>
    </xf>
    <xf numFmtId="177" fontId="3" fillId="0" borderId="17" xfId="0" applyNumberFormat="1" applyFont="1" applyBorder="1" applyAlignment="1" applyProtection="1">
      <alignment horizontal="center" vertical="center"/>
      <protection locked="0"/>
    </xf>
    <xf numFmtId="0" fontId="3" fillId="3" borderId="19" xfId="0" applyFont="1" applyFill="1" applyBorder="1" applyAlignment="1" applyProtection="1">
      <alignment horizontal="center" vertical="center"/>
      <protection locked="0"/>
    </xf>
    <xf numFmtId="0" fontId="3" fillId="3" borderId="19" xfId="0" applyFont="1" applyFill="1" applyBorder="1" applyAlignment="1" applyProtection="1">
      <alignment horizontal="center" vertical="center"/>
    </xf>
    <xf numFmtId="0" fontId="3" fillId="3" borderId="20" xfId="0" applyFont="1" applyFill="1" applyBorder="1" applyAlignment="1" applyProtection="1">
      <alignment horizontal="center" vertical="center"/>
      <protection locked="0"/>
    </xf>
    <xf numFmtId="0" fontId="16" fillId="0" borderId="0" xfId="0" applyFont="1" applyAlignment="1">
      <alignment horizontal="center" vertical="center"/>
    </xf>
    <xf numFmtId="0" fontId="4" fillId="4" borderId="12" xfId="0" applyFont="1" applyFill="1" applyBorder="1" applyAlignment="1" applyProtection="1">
      <alignment horizontal="center" vertical="center"/>
    </xf>
    <xf numFmtId="0" fontId="4" fillId="4" borderId="13" xfId="0" applyFont="1" applyFill="1" applyBorder="1" applyAlignment="1" applyProtection="1">
      <alignment horizontal="center" vertical="center"/>
    </xf>
    <xf numFmtId="0" fontId="4" fillId="4" borderId="14" xfId="0" applyFont="1" applyFill="1" applyBorder="1" applyAlignment="1" applyProtection="1">
      <alignment horizontal="center" vertical="center"/>
    </xf>
    <xf numFmtId="49" fontId="3" fillId="0" borderId="16" xfId="0" applyNumberFormat="1" applyFont="1" applyBorder="1" applyAlignment="1" applyProtection="1">
      <alignment horizontal="center" vertical="center"/>
      <protection locked="0"/>
    </xf>
    <xf numFmtId="0" fontId="3" fillId="0" borderId="17" xfId="0" applyNumberFormat="1" applyFont="1" applyBorder="1" applyAlignment="1">
      <alignment horizontal="left" vertical="center"/>
    </xf>
    <xf numFmtId="0" fontId="3" fillId="0" borderId="20" xfId="0" applyNumberFormat="1" applyFont="1" applyBorder="1" applyAlignment="1" applyProtection="1">
      <alignment horizontal="left" vertical="center"/>
    </xf>
    <xf numFmtId="14" fontId="3" fillId="0" borderId="0" xfId="0" applyNumberFormat="1" applyFont="1" applyAlignment="1" applyProtection="1">
      <alignment horizontal="center" vertical="center"/>
      <protection locked="0"/>
    </xf>
    <xf numFmtId="0" fontId="0" fillId="0" borderId="0" xfId="2" quotePrefix="1" applyFont="1" applyBorder="1" applyAlignment="1">
      <alignment horizontal="center" vertical="center"/>
    </xf>
    <xf numFmtId="0" fontId="3" fillId="0" borderId="45" xfId="0" applyFont="1" applyBorder="1" applyAlignment="1" applyProtection="1">
      <alignment vertical="center"/>
      <protection locked="0"/>
    </xf>
    <xf numFmtId="0" fontId="3" fillId="7" borderId="45" xfId="0" applyFont="1" applyFill="1" applyBorder="1" applyAlignment="1" applyProtection="1">
      <alignment vertical="center"/>
      <protection locked="0"/>
    </xf>
    <xf numFmtId="0" fontId="3" fillId="0" borderId="4" xfId="0" applyFont="1" applyBorder="1" applyAlignment="1" applyProtection="1">
      <alignment horizontal="left" vertical="top" wrapText="1"/>
    </xf>
    <xf numFmtId="0" fontId="3" fillId="0" borderId="0" xfId="0" applyFont="1" applyBorder="1" applyAlignment="1" applyProtection="1">
      <alignment horizontal="left" vertical="top" wrapText="1"/>
    </xf>
    <xf numFmtId="0" fontId="3" fillId="0" borderId="5" xfId="0" applyFont="1" applyBorder="1" applyAlignment="1" applyProtection="1">
      <alignment horizontal="left" vertical="top" wrapText="1"/>
    </xf>
    <xf numFmtId="0" fontId="3" fillId="0" borderId="6" xfId="0" applyFont="1" applyBorder="1" applyAlignment="1" applyProtection="1">
      <alignment horizontal="left" vertical="top" wrapText="1"/>
    </xf>
    <xf numFmtId="0" fontId="3" fillId="0" borderId="7" xfId="0" applyFont="1" applyBorder="1" applyAlignment="1" applyProtection="1">
      <alignment horizontal="left" vertical="top" wrapText="1"/>
    </xf>
    <xf numFmtId="0" fontId="3" fillId="0" borderId="8" xfId="0" applyFont="1" applyBorder="1" applyAlignment="1" applyProtection="1">
      <alignment horizontal="left" vertical="top" wrapText="1"/>
    </xf>
    <xf numFmtId="0" fontId="3" fillId="0" borderId="4" xfId="0" applyFont="1" applyBorder="1" applyAlignment="1" applyProtection="1">
      <alignment horizontal="left" vertical="top" wrapText="1"/>
      <protection locked="0"/>
    </xf>
    <xf numFmtId="0" fontId="3" fillId="0" borderId="0" xfId="0" applyFont="1" applyBorder="1" applyAlignment="1" applyProtection="1">
      <alignment horizontal="left" vertical="top" wrapText="1"/>
      <protection locked="0"/>
    </xf>
    <xf numFmtId="0" fontId="3" fillId="0" borderId="5" xfId="0" applyFont="1" applyBorder="1" applyAlignment="1" applyProtection="1">
      <alignment horizontal="left" vertical="top" wrapText="1"/>
      <protection locked="0"/>
    </xf>
    <xf numFmtId="0" fontId="3" fillId="0" borderId="6" xfId="0" applyFont="1" applyBorder="1" applyAlignment="1" applyProtection="1">
      <alignment horizontal="left" vertical="top" wrapText="1"/>
      <protection locked="0"/>
    </xf>
    <xf numFmtId="0" fontId="3" fillId="0" borderId="7" xfId="0" applyFont="1" applyBorder="1" applyAlignment="1" applyProtection="1">
      <alignment horizontal="left" vertical="top" wrapText="1"/>
      <protection locked="0"/>
    </xf>
    <xf numFmtId="0" fontId="3" fillId="0" borderId="8" xfId="0" applyFont="1" applyBorder="1" applyAlignment="1" applyProtection="1">
      <alignment horizontal="left" vertical="top" wrapText="1"/>
      <protection locked="0"/>
    </xf>
    <xf numFmtId="0" fontId="3" fillId="0" borderId="0" xfId="0" applyFont="1" applyBorder="1" applyAlignment="1" applyProtection="1">
      <alignment horizontal="center" vertical="center" wrapText="1"/>
    </xf>
    <xf numFmtId="0" fontId="3" fillId="0" borderId="5" xfId="0" applyFont="1" applyBorder="1" applyAlignment="1" applyProtection="1">
      <alignment horizontal="center" vertical="center" wrapText="1"/>
    </xf>
    <xf numFmtId="0" fontId="3" fillId="0" borderId="7" xfId="0" applyFont="1" applyBorder="1" applyAlignment="1" applyProtection="1">
      <alignment horizontal="center" vertical="center" wrapText="1"/>
    </xf>
    <xf numFmtId="0" fontId="3" fillId="0" borderId="8" xfId="0" applyFont="1" applyBorder="1" applyAlignment="1" applyProtection="1">
      <alignment horizontal="center" vertical="center" wrapText="1"/>
    </xf>
    <xf numFmtId="0" fontId="12" fillId="2" borderId="31" xfId="0" applyFont="1" applyFill="1" applyBorder="1" applyAlignment="1" applyProtection="1">
      <alignment horizontal="center" vertical="center"/>
      <protection locked="0"/>
    </xf>
    <xf numFmtId="0" fontId="12" fillId="2" borderId="32" xfId="0" applyFont="1" applyFill="1" applyBorder="1" applyAlignment="1" applyProtection="1">
      <alignment horizontal="center" vertical="center"/>
      <protection locked="0"/>
    </xf>
    <xf numFmtId="0" fontId="12" fillId="2" borderId="38" xfId="0" applyFont="1" applyFill="1" applyBorder="1" applyAlignment="1" applyProtection="1">
      <alignment horizontal="center" vertical="center"/>
      <protection locked="0"/>
    </xf>
    <xf numFmtId="0" fontId="12" fillId="2" borderId="1" xfId="0" applyFont="1" applyFill="1" applyBorder="1" applyAlignment="1" applyProtection="1">
      <alignment horizontal="center" vertical="center"/>
      <protection locked="0"/>
    </xf>
    <xf numFmtId="0" fontId="12" fillId="2" borderId="2" xfId="0" applyFont="1" applyFill="1" applyBorder="1" applyAlignment="1" applyProtection="1">
      <alignment horizontal="center" vertical="center"/>
      <protection locked="0"/>
    </xf>
    <xf numFmtId="0" fontId="12" fillId="2" borderId="3" xfId="0" applyFont="1" applyFill="1" applyBorder="1" applyAlignment="1" applyProtection="1">
      <alignment horizontal="center" vertical="center"/>
      <protection locked="0"/>
    </xf>
    <xf numFmtId="0" fontId="3" fillId="0" borderId="15" xfId="0" applyFont="1" applyBorder="1" applyAlignment="1" applyProtection="1">
      <alignment horizontal="left" vertical="center"/>
      <protection locked="0"/>
    </xf>
    <xf numFmtId="0" fontId="3" fillId="0" borderId="16" xfId="0" applyFont="1" applyBorder="1" applyAlignment="1" applyProtection="1">
      <alignment horizontal="left" vertical="center"/>
      <protection locked="0"/>
    </xf>
    <xf numFmtId="0" fontId="3" fillId="0" borderId="17" xfId="0" applyFont="1" applyBorder="1" applyAlignment="1" applyProtection="1">
      <alignment horizontal="left" vertical="center"/>
      <protection locked="0"/>
    </xf>
    <xf numFmtId="0" fontId="3" fillId="7" borderId="15" xfId="0" applyFont="1" applyFill="1" applyBorder="1" applyAlignment="1" applyProtection="1">
      <alignment horizontal="left" vertical="center"/>
      <protection locked="0"/>
    </xf>
    <xf numFmtId="0" fontId="3" fillId="7" borderId="16" xfId="0" applyFont="1" applyFill="1" applyBorder="1" applyAlignment="1" applyProtection="1">
      <alignment horizontal="left" vertical="center"/>
      <protection locked="0"/>
    </xf>
    <xf numFmtId="0" fontId="3" fillId="7" borderId="17" xfId="0" applyFont="1" applyFill="1" applyBorder="1" applyAlignment="1" applyProtection="1">
      <alignment horizontal="left" vertical="center"/>
      <protection locked="0"/>
    </xf>
    <xf numFmtId="0" fontId="3" fillId="0" borderId="18" xfId="0" applyFont="1" applyBorder="1" applyAlignment="1" applyProtection="1">
      <alignment horizontal="left" vertical="center"/>
      <protection locked="0"/>
    </xf>
    <xf numFmtId="0" fontId="3" fillId="0" borderId="19" xfId="0" applyFont="1" applyBorder="1" applyAlignment="1" applyProtection="1">
      <alignment horizontal="left" vertical="center"/>
      <protection locked="0"/>
    </xf>
    <xf numFmtId="0" fontId="3" fillId="0" borderId="20" xfId="0" applyFont="1" applyBorder="1" applyAlignment="1" applyProtection="1">
      <alignment horizontal="left" vertical="center"/>
      <protection locked="0"/>
    </xf>
    <xf numFmtId="0" fontId="3" fillId="7" borderId="18" xfId="0" applyFont="1" applyFill="1" applyBorder="1" applyAlignment="1" applyProtection="1">
      <alignment horizontal="left" vertical="center"/>
      <protection locked="0"/>
    </xf>
    <xf numFmtId="0" fontId="3" fillId="7" borderId="19" xfId="0" applyFont="1" applyFill="1" applyBorder="1" applyAlignment="1" applyProtection="1">
      <alignment horizontal="left" vertical="center"/>
      <protection locked="0"/>
    </xf>
    <xf numFmtId="0" fontId="3" fillId="7" borderId="20" xfId="0" applyFont="1" applyFill="1" applyBorder="1" applyAlignment="1" applyProtection="1">
      <alignment horizontal="left" vertical="center"/>
      <protection locked="0"/>
    </xf>
    <xf numFmtId="0" fontId="12" fillId="2" borderId="12" xfId="0" applyFont="1" applyFill="1" applyBorder="1" applyAlignment="1" applyProtection="1">
      <alignment horizontal="center" vertical="center"/>
      <protection locked="0"/>
    </xf>
    <xf numFmtId="0" fontId="12" fillId="2" borderId="13" xfId="0" applyFont="1" applyFill="1" applyBorder="1" applyAlignment="1" applyProtection="1">
      <alignment horizontal="center" vertical="center"/>
      <protection locked="0"/>
    </xf>
    <xf numFmtId="0" fontId="12" fillId="2" borderId="14" xfId="0" applyFont="1" applyFill="1" applyBorder="1" applyAlignment="1" applyProtection="1">
      <alignment horizontal="center" vertical="center"/>
      <protection locked="0"/>
    </xf>
    <xf numFmtId="0" fontId="3" fillId="0" borderId="16" xfId="0" applyFont="1" applyBorder="1" applyAlignment="1">
      <alignment horizontal="center" vertical="center"/>
    </xf>
    <xf numFmtId="0" fontId="17" fillId="0" borderId="16" xfId="0" applyFont="1" applyBorder="1" applyAlignment="1">
      <alignment horizontal="center" vertical="center"/>
    </xf>
    <xf numFmtId="0" fontId="17" fillId="0" borderId="16" xfId="0" applyNumberFormat="1" applyFont="1" applyBorder="1" applyAlignment="1">
      <alignment horizontal="center" vertical="center"/>
    </xf>
    <xf numFmtId="0" fontId="3" fillId="0" borderId="19" xfId="0" applyFont="1" applyBorder="1" applyAlignment="1" applyProtection="1">
      <alignment horizontal="center" vertical="center"/>
      <protection locked="0"/>
    </xf>
    <xf numFmtId="0" fontId="17" fillId="0" borderId="19" xfId="0" applyFont="1" applyBorder="1" applyAlignment="1" applyProtection="1">
      <alignment horizontal="center" vertical="center"/>
      <protection locked="0"/>
    </xf>
    <xf numFmtId="0" fontId="17" fillId="0" borderId="19" xfId="0" applyNumberFormat="1" applyFont="1" applyBorder="1" applyAlignment="1" applyProtection="1">
      <alignment horizontal="center" vertical="center"/>
      <protection locked="0"/>
    </xf>
    <xf numFmtId="0" fontId="12" fillId="2" borderId="12" xfId="0" applyFont="1" applyFill="1" applyBorder="1" applyAlignment="1" applyProtection="1">
      <alignment horizontal="center" vertical="center"/>
    </xf>
    <xf numFmtId="0" fontId="12" fillId="2" borderId="13" xfId="0" applyFont="1" applyFill="1" applyBorder="1" applyAlignment="1" applyProtection="1">
      <alignment horizontal="center" vertical="center"/>
    </xf>
    <xf numFmtId="0" fontId="12" fillId="2" borderId="14" xfId="0" applyFont="1" applyFill="1" applyBorder="1" applyAlignment="1" applyProtection="1">
      <alignment horizontal="center" vertical="center"/>
    </xf>
    <xf numFmtId="0" fontId="4" fillId="4" borderId="15" xfId="0" applyFont="1" applyFill="1" applyBorder="1" applyAlignment="1" applyProtection="1">
      <alignment horizontal="center" vertical="center"/>
    </xf>
    <xf numFmtId="0" fontId="4" fillId="4" borderId="16" xfId="0" applyFont="1" applyFill="1" applyBorder="1" applyAlignment="1" applyProtection="1">
      <alignment horizontal="center" vertical="center"/>
    </xf>
    <xf numFmtId="0" fontId="3" fillId="7" borderId="15" xfId="0" applyFont="1" applyFill="1" applyBorder="1" applyAlignment="1">
      <alignment horizontal="left" vertical="center"/>
    </xf>
    <xf numFmtId="0" fontId="3" fillId="7" borderId="16" xfId="0" applyFont="1" applyFill="1" applyBorder="1" applyAlignment="1">
      <alignment horizontal="left" vertical="center"/>
    </xf>
    <xf numFmtId="0" fontId="3" fillId="7" borderId="17" xfId="0" applyFont="1" applyFill="1" applyBorder="1" applyAlignment="1">
      <alignment horizontal="left" vertical="center"/>
    </xf>
    <xf numFmtId="0" fontId="3" fillId="3" borderId="23" xfId="0" applyFont="1" applyFill="1" applyBorder="1" applyAlignment="1" applyProtection="1">
      <alignment horizontal="center" vertical="center"/>
      <protection locked="0"/>
    </xf>
    <xf numFmtId="0" fontId="3" fillId="3" borderId="24" xfId="0" applyFont="1" applyFill="1" applyBorder="1" applyAlignment="1" applyProtection="1">
      <alignment horizontal="center" vertical="center"/>
      <protection locked="0"/>
    </xf>
    <xf numFmtId="0" fontId="3" fillId="0" borderId="15" xfId="0" applyFont="1" applyBorder="1" applyAlignment="1">
      <alignment horizontal="left" vertical="center"/>
    </xf>
    <xf numFmtId="0" fontId="3" fillId="0" borderId="16" xfId="0" applyFont="1" applyBorder="1" applyAlignment="1">
      <alignment horizontal="left" vertical="center"/>
    </xf>
    <xf numFmtId="0" fontId="3" fillId="0" borderId="17" xfId="0" applyFont="1" applyBorder="1" applyAlignment="1">
      <alignment horizontal="left" vertical="center"/>
    </xf>
    <xf numFmtId="0" fontId="3" fillId="0" borderId="23" xfId="0" applyFont="1" applyBorder="1" applyAlignment="1" applyProtection="1">
      <alignment horizontal="center" vertical="center"/>
      <protection locked="0"/>
    </xf>
    <xf numFmtId="0" fontId="3" fillId="0" borderId="24" xfId="0" applyFont="1" applyBorder="1" applyAlignment="1" applyProtection="1">
      <alignment horizontal="center" vertical="center"/>
      <protection locked="0"/>
    </xf>
    <xf numFmtId="0" fontId="3" fillId="7" borderId="18" xfId="0" applyFont="1" applyFill="1" applyBorder="1" applyAlignment="1">
      <alignment horizontal="left" vertical="center"/>
    </xf>
    <xf numFmtId="0" fontId="3" fillId="7" borderId="19" xfId="0" applyFont="1" applyFill="1" applyBorder="1" applyAlignment="1">
      <alignment horizontal="left" vertical="center"/>
    </xf>
    <xf numFmtId="0" fontId="3" fillId="7" borderId="20" xfId="0" applyFont="1" applyFill="1" applyBorder="1" applyAlignment="1">
      <alignment horizontal="left" vertical="center"/>
    </xf>
    <xf numFmtId="0" fontId="3" fillId="3" borderId="42" xfId="0" applyFont="1" applyFill="1" applyBorder="1" applyAlignment="1" applyProtection="1">
      <alignment horizontal="center" vertical="center"/>
      <protection locked="0"/>
    </xf>
    <xf numFmtId="0" fontId="3" fillId="3" borderId="43" xfId="0" applyFont="1" applyFill="1" applyBorder="1" applyAlignment="1" applyProtection="1">
      <alignment horizontal="center" vertical="center"/>
      <protection locked="0"/>
    </xf>
    <xf numFmtId="0" fontId="3" fillId="0" borderId="12" xfId="0" applyFont="1" applyBorder="1" applyAlignment="1">
      <alignment horizontal="left" vertical="center"/>
    </xf>
    <xf numFmtId="0" fontId="3" fillId="0" borderId="13" xfId="0" applyFont="1" applyBorder="1" applyAlignment="1">
      <alignment horizontal="left" vertical="center"/>
    </xf>
    <xf numFmtId="0" fontId="3" fillId="0" borderId="14" xfId="0" applyFont="1" applyBorder="1" applyAlignment="1">
      <alignment horizontal="left" vertical="center"/>
    </xf>
    <xf numFmtId="0" fontId="3" fillId="0" borderId="15" xfId="0" applyFont="1" applyBorder="1" applyAlignment="1" applyProtection="1">
      <alignment horizontal="center" vertical="center"/>
      <protection locked="0"/>
    </xf>
    <xf numFmtId="0" fontId="3" fillId="0" borderId="16" xfId="0" applyFont="1" applyBorder="1" applyAlignment="1" applyProtection="1">
      <alignment horizontal="center" vertical="center"/>
      <protection locked="0"/>
    </xf>
    <xf numFmtId="0" fontId="3" fillId="3" borderId="15" xfId="0" applyFont="1" applyFill="1" applyBorder="1" applyAlignment="1" applyProtection="1">
      <alignment horizontal="center" vertical="center"/>
      <protection locked="0"/>
    </xf>
    <xf numFmtId="0" fontId="3" fillId="3" borderId="16" xfId="0" applyFont="1" applyFill="1" applyBorder="1" applyAlignment="1" applyProtection="1">
      <alignment horizontal="center" vertical="center"/>
      <protection locked="0"/>
    </xf>
    <xf numFmtId="0" fontId="3" fillId="0" borderId="18" xfId="0" applyFont="1" applyBorder="1" applyAlignment="1" applyProtection="1">
      <alignment horizontal="center" vertical="center"/>
      <protection locked="0"/>
    </xf>
    <xf numFmtId="0" fontId="15" fillId="0" borderId="44" xfId="0" applyFont="1" applyBorder="1" applyAlignment="1">
      <alignment horizontal="center" vertical="center"/>
    </xf>
    <xf numFmtId="0" fontId="12" fillId="2" borderId="31" xfId="0" applyFont="1" applyFill="1" applyBorder="1" applyAlignment="1" applyProtection="1">
      <alignment horizontal="center" vertical="center"/>
    </xf>
    <xf numFmtId="0" fontId="12" fillId="2" borderId="32" xfId="0" applyFont="1" applyFill="1" applyBorder="1" applyAlignment="1" applyProtection="1">
      <alignment horizontal="center" vertical="center"/>
    </xf>
    <xf numFmtId="0" fontId="12" fillId="2" borderId="38" xfId="0" applyFont="1" applyFill="1" applyBorder="1" applyAlignment="1" applyProtection="1">
      <alignment horizontal="center" vertical="center"/>
    </xf>
    <xf numFmtId="0" fontId="3" fillId="0" borderId="42" xfId="0" applyFont="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4" fillId="4" borderId="23" xfId="0" applyFont="1" applyFill="1" applyBorder="1" applyAlignment="1" applyProtection="1">
      <alignment horizontal="center" vertical="center"/>
    </xf>
    <xf numFmtId="0" fontId="4" fillId="4" borderId="35" xfId="0" applyFont="1" applyFill="1" applyBorder="1" applyAlignment="1" applyProtection="1">
      <alignment horizontal="center" vertical="center"/>
    </xf>
    <xf numFmtId="0" fontId="3" fillId="3" borderId="16" xfId="0" applyFont="1" applyFill="1" applyBorder="1" applyAlignment="1" applyProtection="1">
      <alignment horizontal="left" vertical="center"/>
      <protection locked="0"/>
    </xf>
    <xf numFmtId="0" fontId="3" fillId="6" borderId="16" xfId="0" applyFont="1" applyFill="1" applyBorder="1" applyAlignment="1" applyProtection="1">
      <alignment horizontal="left" vertical="center"/>
      <protection locked="0"/>
    </xf>
    <xf numFmtId="0" fontId="3" fillId="7" borderId="15" xfId="0" applyFont="1" applyFill="1" applyBorder="1" applyAlignment="1" applyProtection="1">
      <alignment horizontal="center" vertical="center"/>
      <protection locked="0"/>
    </xf>
    <xf numFmtId="0" fontId="3" fillId="7" borderId="16" xfId="0" applyFont="1" applyFill="1" applyBorder="1" applyAlignment="1" applyProtection="1">
      <alignment horizontal="center" vertical="center"/>
      <protection locked="0"/>
    </xf>
    <xf numFmtId="0" fontId="3" fillId="6" borderId="18" xfId="0" applyFont="1" applyFill="1" applyBorder="1" applyAlignment="1" applyProtection="1">
      <alignment horizontal="center" vertical="center"/>
      <protection locked="0"/>
    </xf>
    <xf numFmtId="0" fontId="3" fillId="6" borderId="19" xfId="0" applyFont="1" applyFill="1" applyBorder="1" applyAlignment="1" applyProtection="1">
      <alignment horizontal="center" vertical="center"/>
      <protection locked="0"/>
    </xf>
    <xf numFmtId="0" fontId="14" fillId="0" borderId="7" xfId="0" applyFont="1" applyBorder="1" applyAlignment="1">
      <alignment horizontal="center" vertical="center"/>
    </xf>
    <xf numFmtId="0" fontId="14" fillId="0" borderId="0" xfId="0" applyFont="1" applyBorder="1" applyAlignment="1">
      <alignment horizontal="center" vertical="center"/>
    </xf>
    <xf numFmtId="0" fontId="3" fillId="0" borderId="29" xfId="0" applyFont="1" applyBorder="1" applyAlignment="1">
      <alignment horizontal="center" vertical="center"/>
    </xf>
    <xf numFmtId="0" fontId="3" fillId="0" borderId="19" xfId="0" applyFont="1" applyBorder="1" applyAlignment="1">
      <alignment horizontal="center" vertical="center"/>
    </xf>
    <xf numFmtId="0" fontId="3" fillId="6" borderId="15" xfId="0" applyFont="1" applyFill="1" applyBorder="1" applyAlignment="1" applyProtection="1">
      <alignment horizontal="center" vertical="center" wrapText="1"/>
    </xf>
    <xf numFmtId="0" fontId="3" fillId="6" borderId="18" xfId="0" applyFont="1" applyFill="1" applyBorder="1" applyAlignment="1" applyProtection="1">
      <alignment horizontal="center" vertical="center" wrapText="1"/>
    </xf>
    <xf numFmtId="0" fontId="3" fillId="6" borderId="16" xfId="0" applyFont="1" applyFill="1" applyBorder="1" applyAlignment="1" applyProtection="1">
      <alignment horizontal="center" vertical="center"/>
    </xf>
    <xf numFmtId="0" fontId="3" fillId="6" borderId="19" xfId="0" applyFont="1" applyFill="1" applyBorder="1" applyAlignment="1" applyProtection="1">
      <alignment horizontal="center" vertical="center"/>
    </xf>
    <xf numFmtId="0" fontId="3" fillId="6" borderId="16" xfId="0" applyFont="1" applyFill="1" applyBorder="1" applyAlignment="1" applyProtection="1">
      <alignment horizontal="center" vertical="center"/>
      <protection locked="0"/>
    </xf>
    <xf numFmtId="0" fontId="3" fillId="6" borderId="17" xfId="0" applyFont="1" applyFill="1" applyBorder="1" applyAlignment="1" applyProtection="1">
      <alignment horizontal="center" vertical="center"/>
    </xf>
    <xf numFmtId="0" fontId="3" fillId="6" borderId="20" xfId="0" applyFont="1" applyFill="1" applyBorder="1" applyAlignment="1" applyProtection="1">
      <alignment horizontal="center" vertical="center"/>
    </xf>
    <xf numFmtId="0" fontId="3" fillId="6" borderId="33" xfId="0" applyFont="1" applyFill="1" applyBorder="1" applyAlignment="1" applyProtection="1">
      <alignment horizontal="center" vertical="center"/>
      <protection locked="0"/>
    </xf>
    <xf numFmtId="0" fontId="3" fillId="6" borderId="34" xfId="0" applyFont="1" applyFill="1" applyBorder="1" applyAlignment="1" applyProtection="1">
      <alignment horizontal="center" vertical="center"/>
      <protection locked="0"/>
    </xf>
    <xf numFmtId="0" fontId="3" fillId="6" borderId="4" xfId="0" applyFont="1" applyFill="1" applyBorder="1" applyAlignment="1" applyProtection="1">
      <alignment horizontal="center" vertical="center"/>
      <protection locked="0"/>
    </xf>
    <xf numFmtId="0" fontId="3" fillId="6" borderId="36" xfId="0" applyFont="1" applyFill="1" applyBorder="1" applyAlignment="1" applyProtection="1">
      <alignment horizontal="center" vertical="center"/>
      <protection locked="0"/>
    </xf>
    <xf numFmtId="0" fontId="3" fillId="6" borderId="6" xfId="0" applyFont="1" applyFill="1" applyBorder="1" applyAlignment="1" applyProtection="1">
      <alignment horizontal="center" vertical="center"/>
      <protection locked="0"/>
    </xf>
    <xf numFmtId="0" fontId="3" fillId="6" borderId="37" xfId="0" applyFont="1" applyFill="1" applyBorder="1" applyAlignment="1" applyProtection="1">
      <alignment horizontal="center" vertical="center"/>
      <protection locked="0"/>
    </xf>
    <xf numFmtId="0" fontId="3" fillId="7" borderId="1" xfId="0" applyFont="1" applyFill="1" applyBorder="1" applyAlignment="1" applyProtection="1">
      <alignment horizontal="center" vertical="center"/>
      <protection locked="0"/>
    </xf>
    <xf numFmtId="0" fontId="3" fillId="7" borderId="2" xfId="0" applyFont="1" applyFill="1" applyBorder="1" applyAlignment="1" applyProtection="1">
      <alignment horizontal="center" vertical="center"/>
      <protection locked="0"/>
    </xf>
    <xf numFmtId="0" fontId="3" fillId="7" borderId="3" xfId="0" applyFont="1" applyFill="1" applyBorder="1" applyAlignment="1" applyProtection="1">
      <alignment horizontal="center" vertical="center"/>
      <protection locked="0"/>
    </xf>
    <xf numFmtId="0" fontId="3" fillId="7" borderId="4" xfId="0" applyFont="1" applyFill="1" applyBorder="1" applyAlignment="1" applyProtection="1">
      <alignment horizontal="center" vertical="center"/>
      <protection locked="0"/>
    </xf>
    <xf numFmtId="0" fontId="3" fillId="7" borderId="0" xfId="0" applyFont="1" applyFill="1" applyBorder="1" applyAlignment="1" applyProtection="1">
      <alignment horizontal="center" vertical="center"/>
      <protection locked="0"/>
    </xf>
    <xf numFmtId="0" fontId="3" fillId="7" borderId="5" xfId="0" applyFont="1" applyFill="1" applyBorder="1" applyAlignment="1" applyProtection="1">
      <alignment horizontal="center" vertical="center"/>
      <protection locked="0"/>
    </xf>
    <xf numFmtId="0" fontId="3" fillId="7" borderId="6" xfId="0" applyFont="1" applyFill="1" applyBorder="1" applyAlignment="1" applyProtection="1">
      <alignment horizontal="center" vertical="center"/>
      <protection locked="0"/>
    </xf>
    <xf numFmtId="0" fontId="3" fillId="7" borderId="7" xfId="0" applyFont="1" applyFill="1" applyBorder="1" applyAlignment="1" applyProtection="1">
      <alignment horizontal="center" vertical="center"/>
      <protection locked="0"/>
    </xf>
    <xf numFmtId="0" fontId="3" fillId="7" borderId="8"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xf>
    <xf numFmtId="0" fontId="3" fillId="0" borderId="34" xfId="0" applyFont="1" applyBorder="1" applyAlignment="1" applyProtection="1">
      <alignment horizontal="center" vertical="center"/>
    </xf>
    <xf numFmtId="0" fontId="3" fillId="0" borderId="40" xfId="0" applyFont="1" applyBorder="1" applyAlignment="1" applyProtection="1">
      <alignment horizontal="center" vertical="center"/>
    </xf>
    <xf numFmtId="0" fontId="3" fillId="0" borderId="36" xfId="0" applyFont="1" applyBorder="1" applyAlignment="1" applyProtection="1">
      <alignment horizontal="center" vertical="center"/>
    </xf>
    <xf numFmtId="0" fontId="3" fillId="0" borderId="41" xfId="0" applyFont="1" applyBorder="1" applyAlignment="1" applyProtection="1">
      <alignment horizontal="center" vertical="center"/>
    </xf>
    <xf numFmtId="0" fontId="3" fillId="0" borderId="37" xfId="0" applyFont="1" applyBorder="1" applyAlignment="1" applyProtection="1">
      <alignment horizontal="center" vertical="center"/>
    </xf>
    <xf numFmtId="0" fontId="3" fillId="6" borderId="15" xfId="0" applyFont="1" applyFill="1" applyBorder="1" applyAlignment="1" applyProtection="1">
      <alignment horizontal="center" vertical="center"/>
      <protection locked="0"/>
    </xf>
    <xf numFmtId="0" fontId="3" fillId="0" borderId="29" xfId="0" applyFont="1" applyBorder="1" applyAlignment="1" applyProtection="1">
      <alignment horizontal="right" vertical="center"/>
      <protection locked="0"/>
    </xf>
    <xf numFmtId="0" fontId="3" fillId="0" borderId="35" xfId="0" applyFont="1" applyBorder="1" applyAlignment="1" applyProtection="1">
      <alignment horizontal="right" vertical="center"/>
      <protection locked="0"/>
    </xf>
    <xf numFmtId="0" fontId="13" fillId="7" borderId="16" xfId="0" applyFont="1" applyFill="1" applyBorder="1" applyAlignment="1" applyProtection="1">
      <alignment horizontal="center" vertical="center"/>
      <protection locked="0"/>
    </xf>
    <xf numFmtId="0" fontId="12" fillId="2" borderId="4" xfId="0" applyFont="1" applyFill="1" applyBorder="1" applyAlignment="1" applyProtection="1">
      <alignment horizontal="center" vertical="center"/>
    </xf>
    <xf numFmtId="0" fontId="12" fillId="2" borderId="0" xfId="0" applyFont="1" applyFill="1" applyBorder="1" applyAlignment="1" applyProtection="1">
      <alignment horizontal="center" vertical="center"/>
    </xf>
    <xf numFmtId="0" fontId="12" fillId="2" borderId="5" xfId="0" applyFont="1" applyFill="1" applyBorder="1" applyAlignment="1" applyProtection="1">
      <alignment horizontal="center" vertical="center"/>
    </xf>
    <xf numFmtId="0" fontId="3" fillId="6" borderId="35" xfId="0" applyFont="1" applyFill="1" applyBorder="1" applyAlignment="1" applyProtection="1">
      <alignment horizontal="left" vertical="center"/>
      <protection locked="0"/>
    </xf>
    <xf numFmtId="0" fontId="3" fillId="6" borderId="24" xfId="0" applyFont="1" applyFill="1" applyBorder="1" applyAlignment="1" applyProtection="1">
      <alignment horizontal="left" vertical="center"/>
      <protection locked="0"/>
    </xf>
    <xf numFmtId="1" fontId="3" fillId="7" borderId="29" xfId="0" applyNumberFormat="1" applyFont="1" applyFill="1" applyBorder="1" applyAlignment="1" applyProtection="1">
      <alignment horizontal="center" vertical="center"/>
    </xf>
    <xf numFmtId="1" fontId="3" fillId="7" borderId="24" xfId="0" applyNumberFormat="1" applyFont="1" applyFill="1" applyBorder="1" applyAlignment="1" applyProtection="1">
      <alignment horizontal="center" vertical="center"/>
    </xf>
    <xf numFmtId="0" fontId="2" fillId="7" borderId="29" xfId="0" applyFont="1" applyFill="1" applyBorder="1" applyAlignment="1" applyProtection="1">
      <alignment horizontal="center" vertical="center"/>
    </xf>
    <xf numFmtId="0" fontId="2" fillId="7" borderId="24" xfId="0" applyFont="1" applyFill="1" applyBorder="1" applyAlignment="1" applyProtection="1">
      <alignment horizontal="center" vertical="center"/>
    </xf>
    <xf numFmtId="0" fontId="2" fillId="7" borderId="35" xfId="0" applyFont="1" applyFill="1" applyBorder="1" applyAlignment="1" applyProtection="1">
      <alignment horizontal="center" vertical="center"/>
    </xf>
    <xf numFmtId="0" fontId="2" fillId="7" borderId="45" xfId="0" applyFont="1" applyFill="1" applyBorder="1" applyAlignment="1" applyProtection="1">
      <alignment horizontal="center" vertical="center"/>
    </xf>
    <xf numFmtId="0" fontId="11" fillId="0" borderId="0" xfId="0" applyFont="1" applyBorder="1" applyAlignment="1">
      <alignment horizontal="center" vertical="center"/>
    </xf>
    <xf numFmtId="0" fontId="12" fillId="2" borderId="31" xfId="0" applyFont="1" applyFill="1" applyBorder="1" applyAlignment="1">
      <alignment horizontal="center" vertical="center"/>
    </xf>
    <xf numFmtId="0" fontId="12" fillId="2" borderId="32" xfId="0" applyFont="1" applyFill="1" applyBorder="1" applyAlignment="1">
      <alignment horizontal="center" vertical="center"/>
    </xf>
    <xf numFmtId="0" fontId="12" fillId="2" borderId="2" xfId="0" applyFont="1" applyFill="1" applyBorder="1" applyAlignment="1">
      <alignment horizontal="center" vertical="center"/>
    </xf>
    <xf numFmtId="0" fontId="12" fillId="2" borderId="3" xfId="0" applyFont="1" applyFill="1" applyBorder="1" applyAlignment="1">
      <alignment horizontal="center" vertical="center"/>
    </xf>
    <xf numFmtId="1" fontId="3" fillId="0" borderId="29" xfId="0" applyNumberFormat="1" applyFont="1" applyBorder="1" applyAlignment="1" applyProtection="1">
      <alignment horizontal="right" vertical="center"/>
      <protection locked="0"/>
    </xf>
    <xf numFmtId="1" fontId="3" fillId="0" borderId="35" xfId="0" applyNumberFormat="1" applyFont="1" applyBorder="1" applyAlignment="1" applyProtection="1">
      <alignment horizontal="right" vertical="center"/>
      <protection locked="0"/>
    </xf>
    <xf numFmtId="0" fontId="3" fillId="7" borderId="29" xfId="0" applyFont="1" applyFill="1" applyBorder="1" applyAlignment="1" applyProtection="1">
      <alignment horizontal="right" vertical="center"/>
      <protection locked="0"/>
    </xf>
    <xf numFmtId="0" fontId="3" fillId="7" borderId="35" xfId="0" applyFont="1" applyFill="1" applyBorder="1" applyAlignment="1" applyProtection="1">
      <alignment horizontal="right" vertical="center"/>
      <protection locked="0"/>
    </xf>
    <xf numFmtId="0" fontId="0" fillId="0" borderId="0" xfId="0" applyBorder="1" applyAlignment="1">
      <alignment horizontal="left" vertical="center"/>
    </xf>
    <xf numFmtId="0" fontId="0" fillId="0" borderId="5" xfId="0"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0" fontId="7" fillId="2" borderId="2" xfId="0" applyFont="1" applyFill="1" applyBorder="1" applyAlignment="1">
      <alignment horizontal="center" vertical="center"/>
    </xf>
    <xf numFmtId="0" fontId="7" fillId="2" borderId="3" xfId="0" applyFont="1" applyFill="1" applyBorder="1" applyAlignment="1">
      <alignment horizontal="center" vertical="center"/>
    </xf>
    <xf numFmtId="0" fontId="3" fillId="0" borderId="15" xfId="0" applyFont="1" applyBorder="1" applyAlignment="1">
      <alignment horizontal="left" vertical="top" wrapText="1"/>
    </xf>
    <xf numFmtId="0" fontId="3" fillId="0" borderId="16" xfId="0" applyFont="1" applyBorder="1" applyAlignment="1">
      <alignment horizontal="left" vertical="top" wrapText="1"/>
    </xf>
    <xf numFmtId="0" fontId="3" fillId="0" borderId="18" xfId="0" applyFont="1" applyBorder="1" applyAlignment="1">
      <alignment horizontal="left" vertical="top" wrapText="1"/>
    </xf>
    <xf numFmtId="0" fontId="3" fillId="0" borderId="19" xfId="0" applyFont="1" applyBorder="1" applyAlignment="1">
      <alignment horizontal="left" vertical="top" wrapText="1"/>
    </xf>
    <xf numFmtId="0" fontId="3" fillId="0" borderId="17" xfId="0" applyFont="1" applyBorder="1" applyAlignment="1">
      <alignment horizontal="left" vertical="top" wrapText="1"/>
    </xf>
    <xf numFmtId="0" fontId="3" fillId="0" borderId="20" xfId="0" applyFont="1" applyBorder="1" applyAlignment="1">
      <alignment horizontal="left" vertical="top"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15" xfId="0" applyFont="1" applyBorder="1" applyAlignment="1">
      <alignment horizontal="center" vertical="center"/>
    </xf>
    <xf numFmtId="0" fontId="3" fillId="0" borderId="16" xfId="0" applyFont="1" applyBorder="1" applyAlignment="1">
      <alignment horizontal="right" vertical="center"/>
    </xf>
    <xf numFmtId="0" fontId="3" fillId="0" borderId="29" xfId="0" applyFont="1" applyBorder="1" applyAlignment="1">
      <alignment horizontal="right" vertical="center"/>
    </xf>
    <xf numFmtId="0" fontId="3" fillId="0" borderId="24" xfId="0" applyFont="1" applyBorder="1" applyAlignment="1">
      <alignment horizontal="left" vertical="center"/>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3" fillId="0" borderId="13" xfId="0" applyFont="1" applyBorder="1" applyAlignment="1">
      <alignment horizontal="right" vertical="center"/>
    </xf>
    <xf numFmtId="0" fontId="3" fillId="0" borderId="27" xfId="0" applyFont="1" applyBorder="1" applyAlignment="1">
      <alignment horizontal="right" vertical="center"/>
    </xf>
    <xf numFmtId="0" fontId="3" fillId="0" borderId="28" xfId="0" applyFont="1" applyBorder="1" applyAlignment="1">
      <alignment horizontal="left" vertical="center"/>
    </xf>
    <xf numFmtId="0" fontId="3" fillId="0" borderId="18" xfId="0" applyFont="1" applyBorder="1" applyAlignment="1">
      <alignment horizontal="center" vertical="center"/>
    </xf>
    <xf numFmtId="0" fontId="3" fillId="0" borderId="14" xfId="0" applyFont="1" applyBorder="1" applyAlignment="1">
      <alignment horizontal="center" vertical="center"/>
    </xf>
    <xf numFmtId="0" fontId="9" fillId="0" borderId="16" xfId="0" applyFont="1" applyBorder="1" applyAlignment="1">
      <alignment horizontal="center" vertical="center"/>
    </xf>
    <xf numFmtId="0" fontId="9" fillId="0" borderId="13" xfId="0" applyFont="1" applyBorder="1" applyAlignment="1">
      <alignment horizontal="center" vertical="center"/>
    </xf>
    <xf numFmtId="0" fontId="9" fillId="0" borderId="14" xfId="0" applyFont="1" applyBorder="1" applyAlignment="1">
      <alignment horizontal="center" vertical="center"/>
    </xf>
    <xf numFmtId="0" fontId="10" fillId="0" borderId="15" xfId="0" applyFont="1" applyBorder="1" applyAlignment="1">
      <alignment horizontal="center" vertical="center"/>
    </xf>
    <xf numFmtId="0" fontId="10" fillId="0" borderId="16" xfId="0" applyFont="1" applyBorder="1" applyAlignment="1">
      <alignment horizontal="center" vertical="center"/>
    </xf>
    <xf numFmtId="0" fontId="3" fillId="0" borderId="21" xfId="0" applyFont="1" applyBorder="1" applyAlignment="1">
      <alignment horizontal="left" vertical="center"/>
    </xf>
    <xf numFmtId="0" fontId="3" fillId="0" borderId="26" xfId="0" applyFont="1" applyBorder="1" applyAlignment="1">
      <alignment horizontal="left" vertical="center"/>
    </xf>
    <xf numFmtId="0" fontId="9" fillId="0" borderId="12" xfId="0" applyFont="1" applyBorder="1" applyAlignment="1">
      <alignment horizontal="center" vertical="center"/>
    </xf>
    <xf numFmtId="0" fontId="3" fillId="0" borderId="25" xfId="0" applyFont="1" applyBorder="1" applyAlignment="1">
      <alignment horizontal="left" vertical="center"/>
    </xf>
    <xf numFmtId="0" fontId="0" fillId="0" borderId="0" xfId="2" applyFont="1" applyBorder="1" applyAlignment="1">
      <alignment horizontal="center" vertical="center"/>
    </xf>
    <xf numFmtId="0" fontId="1" fillId="2" borderId="12" xfId="0" applyFont="1" applyFill="1" applyBorder="1" applyAlignment="1" applyProtection="1">
      <alignment horizontal="center" vertical="center"/>
    </xf>
    <xf numFmtId="0" fontId="1" fillId="2" borderId="13" xfId="0" applyFont="1" applyFill="1" applyBorder="1" applyAlignment="1" applyProtection="1">
      <alignment horizontal="center" vertical="center"/>
    </xf>
    <xf numFmtId="0" fontId="1" fillId="2" borderId="14" xfId="0" applyFont="1" applyFill="1" applyBorder="1" applyAlignment="1" applyProtection="1">
      <alignment horizontal="center" vertical="center"/>
    </xf>
  </cellXfs>
  <cellStyles count="3">
    <cellStyle name="常规" xfId="0" builtinId="0"/>
    <cellStyle name="常规 2" xfId="2"/>
    <cellStyle name="强调文字颜色 1" xfId="1" builtinId="29"/>
  </cellStyles>
  <dxfs count="18">
    <dxf>
      <fill>
        <patternFill patternType="solid">
          <bgColor theme="9" tint="0.79989013336588644"/>
        </patternFill>
      </fill>
    </dxf>
    <dxf>
      <fill>
        <patternFill patternType="solid">
          <bgColor theme="9" tint="0.79989013336588644"/>
        </patternFill>
      </fill>
    </dxf>
    <dxf>
      <fill>
        <patternFill patternType="solid">
          <bgColor theme="9" tint="0.79989013336588644"/>
        </patternFill>
      </fill>
    </dxf>
    <dxf>
      <fill>
        <patternFill patternType="solid">
          <bgColor theme="9" tint="0.79989013336588644"/>
        </patternFill>
      </fill>
    </dxf>
    <dxf>
      <fill>
        <patternFill patternType="solid">
          <bgColor theme="9" tint="0.79989013336588644"/>
        </patternFill>
      </fill>
    </dxf>
    <dxf>
      <fill>
        <patternFill patternType="solid">
          <bgColor theme="9" tint="0.79989013336588644"/>
        </patternFill>
      </fill>
    </dxf>
    <dxf>
      <fill>
        <patternFill patternType="solid">
          <bgColor theme="9" tint="0.79989013336588644"/>
        </patternFill>
      </fill>
    </dxf>
    <dxf>
      <fill>
        <patternFill patternType="solid">
          <bgColor theme="9" tint="0.79989013336588644"/>
        </patternFill>
      </fill>
    </dxf>
    <dxf>
      <fill>
        <patternFill patternType="solid">
          <bgColor theme="9" tint="0.79989013336588644"/>
        </patternFill>
      </fill>
    </dxf>
    <dxf>
      <fill>
        <patternFill patternType="solid">
          <bgColor theme="9" tint="0.79989013336588644"/>
        </patternFill>
      </fill>
    </dxf>
    <dxf>
      <fill>
        <patternFill patternType="solid">
          <bgColor theme="9" tint="0.79989013336588644"/>
        </patternFill>
      </fill>
    </dxf>
    <dxf>
      <fill>
        <patternFill patternType="solid">
          <bgColor theme="9" tint="0.79989013336588644"/>
        </patternFill>
      </fill>
    </dxf>
    <dxf>
      <fill>
        <patternFill patternType="solid">
          <bgColor theme="9" tint="0.79989013336588644"/>
        </patternFill>
      </fill>
    </dxf>
    <dxf>
      <fill>
        <patternFill patternType="solid">
          <bgColor theme="9" tint="0.79989013336588644"/>
        </patternFill>
      </fill>
    </dxf>
    <dxf>
      <fill>
        <patternFill patternType="solid">
          <bgColor theme="9" tint="0.79989013336588644"/>
        </patternFill>
      </fill>
    </dxf>
    <dxf>
      <fill>
        <patternFill patternType="solid">
          <bgColor theme="9" tint="0.79989013336588644"/>
        </patternFill>
      </fill>
    </dxf>
    <dxf>
      <fill>
        <patternFill patternType="solid">
          <bgColor theme="9" tint="0.79989013336588644"/>
        </patternFill>
      </fill>
    </dxf>
    <dxf>
      <fill>
        <patternFill patternType="solid">
          <bgColor theme="9" tint="0.7998901333658864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16</xdr:col>
      <xdr:colOff>409576</xdr:colOff>
      <xdr:row>1</xdr:row>
      <xdr:rowOff>9526</xdr:rowOff>
    </xdr:from>
    <xdr:to>
      <xdr:col>20</xdr:col>
      <xdr:colOff>47625</xdr:colOff>
      <xdr:row>10</xdr:row>
      <xdr:rowOff>159097</xdr:rowOff>
    </xdr:to>
    <xdr:pic>
      <xdr:nvPicPr>
        <xdr:cNvPr id="2" name="图片 1"/>
        <xdr:cNvPicPr>
          <a:picLocks noChangeAspect="1"/>
        </xdr:cNvPicPr>
      </xdr:nvPicPr>
      <xdr:blipFill>
        <a:blip xmlns:r="http://schemas.openxmlformats.org/officeDocument/2006/relationships" r:embed="rId1"/>
        <a:stretch>
          <a:fillRect/>
        </a:stretch>
      </xdr:blipFill>
      <xdr:spPr>
        <a:xfrm>
          <a:off x="7439025" y="219075"/>
          <a:ext cx="1543050" cy="203517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70"/>
  <sheetViews>
    <sheetView showGridLines="0" tabSelected="1" workbookViewId="0">
      <selection activeCell="E8" sqref="E8:H8"/>
    </sheetView>
  </sheetViews>
  <sheetFormatPr defaultColWidth="6.25" defaultRowHeight="16.5"/>
  <cols>
    <col min="1" max="2" width="4" style="23" customWidth="1"/>
    <col min="3" max="3" width="6.25" style="23"/>
    <col min="4" max="4" width="10" style="23" customWidth="1"/>
    <col min="5" max="5" width="5.5" style="23" customWidth="1"/>
    <col min="6" max="7" width="6.25" style="23"/>
    <col min="8" max="8" width="6.875" style="23" customWidth="1"/>
    <col min="9" max="9" width="2.75" style="23" customWidth="1"/>
    <col min="10" max="10" width="8.25" style="23" customWidth="1"/>
    <col min="11" max="11" width="4.25" style="23" customWidth="1"/>
    <col min="12" max="12" width="5.875" style="23" customWidth="1"/>
    <col min="13" max="14" width="6.375" style="23" customWidth="1"/>
    <col min="15" max="15" width="6.25" style="23"/>
    <col min="16" max="16" width="2.625" style="23" customWidth="1"/>
    <col min="17" max="17" width="9.125" style="23" customWidth="1"/>
    <col min="18" max="18" width="2.875" style="23" customWidth="1"/>
    <col min="19" max="16384" width="6.25" style="23"/>
  </cols>
  <sheetData>
    <row r="1" spans="3:22">
      <c r="E1" s="242" t="s">
        <v>0</v>
      </c>
      <c r="F1" s="242"/>
      <c r="G1" s="242"/>
      <c r="H1" s="242"/>
      <c r="I1" s="242"/>
      <c r="J1" s="242"/>
      <c r="K1" s="242"/>
    </row>
    <row r="2" spans="3:22" ht="18">
      <c r="C2" s="243" t="s">
        <v>1</v>
      </c>
      <c r="D2" s="244"/>
      <c r="E2" s="244"/>
      <c r="F2" s="244"/>
      <c r="G2" s="244"/>
      <c r="H2" s="244"/>
      <c r="I2" s="244"/>
      <c r="J2" s="244"/>
      <c r="K2" s="244"/>
      <c r="L2" s="244"/>
      <c r="M2" s="244"/>
      <c r="N2" s="244"/>
      <c r="O2" s="245"/>
      <c r="P2" s="245"/>
      <c r="Q2" s="246"/>
      <c r="S2" s="212" t="s">
        <v>2</v>
      </c>
      <c r="T2" s="213"/>
      <c r="U2" s="213"/>
      <c r="V2" s="214"/>
    </row>
    <row r="3" spans="3:22">
      <c r="C3" s="227" t="s">
        <v>3</v>
      </c>
      <c r="D3" s="203"/>
      <c r="E3" s="203"/>
      <c r="F3" s="203"/>
      <c r="G3" s="76" t="s">
        <v>4</v>
      </c>
      <c r="H3" s="76"/>
      <c r="I3" s="147"/>
      <c r="J3" s="177" t="s">
        <v>5</v>
      </c>
      <c r="K3" s="177"/>
      <c r="L3" s="177" t="s">
        <v>6</v>
      </c>
      <c r="M3" s="177"/>
      <c r="N3" s="82" t="s">
        <v>7</v>
      </c>
      <c r="O3" s="247">
        <f>V33</f>
        <v>4</v>
      </c>
      <c r="P3" s="248"/>
      <c r="Q3" s="108" t="str">
        <f>"/"&amp;U33</f>
        <v>/4</v>
      </c>
      <c r="S3" s="215"/>
      <c r="T3" s="216"/>
      <c r="U3" s="216"/>
      <c r="V3" s="217"/>
    </row>
    <row r="4" spans="3:22">
      <c r="C4" s="191" t="s">
        <v>8</v>
      </c>
      <c r="D4" s="192"/>
      <c r="E4" s="192"/>
      <c r="F4" s="192"/>
      <c r="G4" s="77" t="s">
        <v>9</v>
      </c>
      <c r="H4" s="77"/>
      <c r="I4" s="147"/>
      <c r="J4" s="192" t="s">
        <v>10</v>
      </c>
      <c r="K4" s="192"/>
      <c r="L4" s="192" t="s">
        <v>11</v>
      </c>
      <c r="M4" s="192"/>
      <c r="N4" s="77" t="s">
        <v>12</v>
      </c>
      <c r="O4" s="249">
        <f>V34</f>
        <v>1</v>
      </c>
      <c r="P4" s="250"/>
      <c r="Q4" s="109" t="str">
        <f>"/"&amp;U34</f>
        <v>/1</v>
      </c>
      <c r="S4" s="215"/>
      <c r="T4" s="216"/>
      <c r="U4" s="216"/>
      <c r="V4" s="217"/>
    </row>
    <row r="5" spans="3:22">
      <c r="C5" s="227" t="s">
        <v>13</v>
      </c>
      <c r="D5" s="203"/>
      <c r="E5" s="203"/>
      <c r="F5" s="203"/>
      <c r="G5" s="203"/>
      <c r="H5" s="203"/>
      <c r="I5" s="147"/>
      <c r="J5" s="177" t="s">
        <v>14</v>
      </c>
      <c r="K5" s="177"/>
      <c r="L5" s="177" t="s">
        <v>15</v>
      </c>
      <c r="M5" s="177"/>
      <c r="N5" s="82" t="s">
        <v>15</v>
      </c>
      <c r="O5" s="228">
        <f>V26</f>
        <v>1</v>
      </c>
      <c r="P5" s="229"/>
      <c r="Q5" s="108" t="str">
        <f>"/"&amp;U26</f>
        <v>/1</v>
      </c>
      <c r="S5" s="215"/>
      <c r="T5" s="216"/>
      <c r="U5" s="216"/>
      <c r="V5" s="217"/>
    </row>
    <row r="6" spans="3:22" ht="18">
      <c r="C6" s="191" t="s">
        <v>16</v>
      </c>
      <c r="D6" s="192"/>
      <c r="E6" s="78">
        <v>0</v>
      </c>
      <c r="F6" s="230" t="str">
        <f>VLOOKUP(人物卡!E6,职业列表!A2:D25,2,FALSE)</f>
        <v>职业</v>
      </c>
      <c r="G6" s="230"/>
      <c r="H6" s="230"/>
      <c r="I6" s="197"/>
      <c r="J6" s="231" t="s">
        <v>17</v>
      </c>
      <c r="K6" s="232"/>
      <c r="L6" s="232"/>
      <c r="M6" s="232"/>
      <c r="N6" s="232"/>
      <c r="O6" s="232"/>
      <c r="P6" s="232"/>
      <c r="Q6" s="233"/>
      <c r="S6" s="215"/>
      <c r="T6" s="216"/>
      <c r="U6" s="216"/>
      <c r="V6" s="217"/>
    </row>
    <row r="7" spans="3:22">
      <c r="C7" s="206" t="s">
        <v>18</v>
      </c>
      <c r="D7" s="207"/>
      <c r="E7" s="190"/>
      <c r="F7" s="234"/>
      <c r="G7" s="234"/>
      <c r="H7" s="235"/>
      <c r="I7" s="147"/>
      <c r="J7" s="236" t="s">
        <v>19</v>
      </c>
      <c r="K7" s="237"/>
      <c r="L7" s="238" t="str">
        <f>IF(N20&gt;=7,"非常富有",LOOKUP(N20,{0,1,2,3,4,5,6},{"贫穷","底层阶级","工人阶级","中产阶级下层","中产阶级","中产阶级上层","上层阶级"}))</f>
        <v>贫穷</v>
      </c>
      <c r="M7" s="239"/>
      <c r="N7" s="92" t="s">
        <v>20</v>
      </c>
      <c r="O7" s="238" t="str">
        <f>IF(N20&gt;=7,"$75,000+",LOOKUP(N20,{0,1,2,3,4,5,6},{"$0-$150","$150-$250","$250-$1,250","$1,250-$1,500","$1,500-$3,000","$3,000-$10,000","$10,000-$75,000"}))</f>
        <v>$0-$150</v>
      </c>
      <c r="P7" s="240"/>
      <c r="Q7" s="241"/>
      <c r="S7" s="215"/>
      <c r="T7" s="216"/>
      <c r="U7" s="216"/>
      <c r="V7" s="217"/>
    </row>
    <row r="8" spans="3:22" ht="16.5" customHeight="1">
      <c r="C8" s="208"/>
      <c r="D8" s="209"/>
      <c r="E8" s="189"/>
      <c r="F8" s="189"/>
      <c r="G8" s="189"/>
      <c r="H8" s="189"/>
      <c r="I8" s="147"/>
      <c r="J8" s="221" t="s">
        <v>21</v>
      </c>
      <c r="K8" s="222"/>
      <c r="L8" s="122" t="str">
        <f>IF(N20&gt;=7,信誉等级!C9,IF(N20&gt;=6,信誉等级!C8,IF(N20&gt;=5,信誉等级!C7,IF(N20&gt;=4,信誉等级!C6,IF(N20&gt;=3,信誉等级!C5,IF(N20&gt;=2,信誉等级!C4,IF(N20&gt;=1,信誉等级!C3,IF(N20&gt;=0,信誉等级!C2,"信誉异常！"))))))))</f>
        <v>流浪汉；衣衫褴褛；居无定所；接受救济；拾荒</v>
      </c>
      <c r="M8" s="122"/>
      <c r="N8" s="122"/>
      <c r="O8" s="122"/>
      <c r="P8" s="122"/>
      <c r="Q8" s="123"/>
      <c r="S8" s="218"/>
      <c r="T8" s="219"/>
      <c r="U8" s="219"/>
      <c r="V8" s="220"/>
    </row>
    <row r="9" spans="3:22">
      <c r="C9" s="210"/>
      <c r="D9" s="211"/>
      <c r="E9" s="190"/>
      <c r="F9" s="190"/>
      <c r="G9" s="190"/>
      <c r="H9" s="190"/>
      <c r="I9" s="147"/>
      <c r="J9" s="223"/>
      <c r="K9" s="224"/>
      <c r="L9" s="122"/>
      <c r="M9" s="122"/>
      <c r="N9" s="122"/>
      <c r="O9" s="122"/>
      <c r="P9" s="122"/>
      <c r="Q9" s="123"/>
    </row>
    <row r="10" spans="3:22" ht="18">
      <c r="C10" s="153" t="s">
        <v>22</v>
      </c>
      <c r="D10" s="154"/>
      <c r="E10" s="154"/>
      <c r="F10" s="154"/>
      <c r="G10" s="154"/>
      <c r="H10" s="155"/>
      <c r="I10" s="147"/>
      <c r="J10" s="223"/>
      <c r="K10" s="224"/>
      <c r="L10" s="122"/>
      <c r="M10" s="122"/>
      <c r="N10" s="122"/>
      <c r="O10" s="122"/>
      <c r="P10" s="122"/>
      <c r="Q10" s="123"/>
      <c r="S10" s="100" t="s">
        <v>23</v>
      </c>
      <c r="T10" s="101" t="s">
        <v>24</v>
      </c>
      <c r="U10" s="101" t="s">
        <v>25</v>
      </c>
      <c r="V10" s="102" t="s">
        <v>26</v>
      </c>
    </row>
    <row r="11" spans="3:22">
      <c r="C11" s="191" t="s">
        <v>27</v>
      </c>
      <c r="D11" s="192"/>
      <c r="E11" s="192"/>
      <c r="F11" s="192"/>
      <c r="G11" s="79" t="s">
        <v>28</v>
      </c>
      <c r="H11" s="79">
        <f>E11-SUM(F16:F47,M16:M27,M30:M48,S40:S48)</f>
        <v>0</v>
      </c>
      <c r="I11" s="147"/>
      <c r="J11" s="223"/>
      <c r="K11" s="224"/>
      <c r="L11" s="122"/>
      <c r="M11" s="122"/>
      <c r="N11" s="122"/>
      <c r="O11" s="122"/>
      <c r="P11" s="122"/>
      <c r="Q11" s="123"/>
      <c r="S11" s="199" t="s">
        <v>29</v>
      </c>
      <c r="T11" s="201">
        <f>IF(U16&gt;=8,4,3)</f>
        <v>3</v>
      </c>
      <c r="U11" s="203"/>
      <c r="V11" s="204">
        <f>SUM(T11:U12)</f>
        <v>3</v>
      </c>
    </row>
    <row r="12" spans="3:22">
      <c r="C12" s="193" t="s">
        <v>30</v>
      </c>
      <c r="D12" s="194"/>
      <c r="E12" s="194"/>
      <c r="F12" s="194"/>
      <c r="G12" s="80" t="s">
        <v>28</v>
      </c>
      <c r="H12" s="80">
        <f>E12-SUM(T16:T48)</f>
        <v>0</v>
      </c>
      <c r="I12" s="198"/>
      <c r="J12" s="225"/>
      <c r="K12" s="226"/>
      <c r="L12" s="124"/>
      <c r="M12" s="124"/>
      <c r="N12" s="124"/>
      <c r="O12" s="124"/>
      <c r="P12" s="124"/>
      <c r="Q12" s="125"/>
      <c r="S12" s="200"/>
      <c r="T12" s="202"/>
      <c r="U12" s="194"/>
      <c r="V12" s="205"/>
    </row>
    <row r="13" spans="3:22">
      <c r="C13" s="195" t="str">
        <f>"["&amp;VLOOKUP(人物卡!E6,职业列表!A2:D25,2,FALSE)&amp;"]"&amp;"的职业能力:"&amp;VLOOKUP(人物卡!E6,职业列表!A2:D25,4,FALSE)&amp;"      信誉等级:"&amp;VLOOKUP(人物卡!E6,职业列表!A2:D25,3,FALSE)</f>
        <v>[职业]的职业能力:请在职业列表自行选择职业编号      信誉等级:自动</v>
      </c>
      <c r="D13" s="195"/>
      <c r="E13" s="195"/>
      <c r="F13" s="195"/>
      <c r="G13" s="195"/>
      <c r="H13" s="195"/>
      <c r="I13" s="196"/>
      <c r="J13" s="195"/>
      <c r="K13" s="195"/>
      <c r="L13" s="195"/>
      <c r="M13" s="195"/>
      <c r="N13" s="195"/>
      <c r="O13" s="195"/>
      <c r="P13" s="196"/>
      <c r="Q13" s="195"/>
      <c r="R13" s="195"/>
      <c r="S13" s="195"/>
      <c r="T13" s="195"/>
      <c r="U13" s="195"/>
      <c r="V13" s="195"/>
    </row>
    <row r="14" spans="3:22" ht="18">
      <c r="C14" s="153" t="s">
        <v>31</v>
      </c>
      <c r="D14" s="154"/>
      <c r="E14" s="154"/>
      <c r="F14" s="154"/>
      <c r="G14" s="154"/>
      <c r="H14" s="155"/>
      <c r="I14" s="93"/>
      <c r="J14" s="153" t="s">
        <v>32</v>
      </c>
      <c r="K14" s="154"/>
      <c r="L14" s="154"/>
      <c r="M14" s="154"/>
      <c r="N14" s="154"/>
      <c r="O14" s="155"/>
      <c r="P14" s="93"/>
      <c r="Q14" s="153" t="s">
        <v>30</v>
      </c>
      <c r="R14" s="154"/>
      <c r="S14" s="154"/>
      <c r="T14" s="154"/>
      <c r="U14" s="154"/>
      <c r="V14" s="155"/>
    </row>
    <row r="15" spans="3:22">
      <c r="C15" s="156" t="s">
        <v>33</v>
      </c>
      <c r="D15" s="157"/>
      <c r="E15" s="25" t="s">
        <v>34</v>
      </c>
      <c r="F15" s="25" t="s">
        <v>35</v>
      </c>
      <c r="G15" s="25" t="s">
        <v>26</v>
      </c>
      <c r="H15" s="81" t="s">
        <v>28</v>
      </c>
      <c r="I15" s="93"/>
      <c r="J15" s="156" t="s">
        <v>33</v>
      </c>
      <c r="K15" s="157"/>
      <c r="L15" s="25" t="s">
        <v>34</v>
      </c>
      <c r="M15" s="25" t="s">
        <v>35</v>
      </c>
      <c r="N15" s="25" t="s">
        <v>26</v>
      </c>
      <c r="O15" s="81" t="s">
        <v>28</v>
      </c>
      <c r="P15" s="93"/>
      <c r="Q15" s="187" t="s">
        <v>33</v>
      </c>
      <c r="R15" s="188"/>
      <c r="S15" s="25" t="s">
        <v>34</v>
      </c>
      <c r="T15" s="25" t="s">
        <v>36</v>
      </c>
      <c r="U15" s="25" t="s">
        <v>26</v>
      </c>
      <c r="V15" s="81" t="s">
        <v>28</v>
      </c>
    </row>
    <row r="16" spans="3:22">
      <c r="C16" s="176" t="s">
        <v>37</v>
      </c>
      <c r="D16" s="177"/>
      <c r="E16" s="82" t="str">
        <f>IFERROR(IF(COUNTIF(职业!$U$4:$U$13,人物卡!C16)=1,"☑","☐"),"")</f>
        <v>☐</v>
      </c>
      <c r="F16" s="82"/>
      <c r="G16" s="83">
        <f>IF(E16="☑",F16*2,F16)</f>
        <v>0</v>
      </c>
      <c r="H16" s="84">
        <f>G16</f>
        <v>0</v>
      </c>
      <c r="I16" s="93"/>
      <c r="J16" s="166" t="s">
        <v>38</v>
      </c>
      <c r="K16" s="167"/>
      <c r="L16" s="82" t="str">
        <f>IFERROR(IF(COUNTIF(职业!$U$4:$U$13,人物卡!J16)=1,"☑","☐"),"")</f>
        <v>☐</v>
      </c>
      <c r="M16" s="82"/>
      <c r="N16" s="83">
        <f>IF(L16="☑",M16*2,M16)</f>
        <v>0</v>
      </c>
      <c r="O16" s="84">
        <f>N16</f>
        <v>0</v>
      </c>
      <c r="P16" s="93"/>
      <c r="Q16" s="166" t="s">
        <v>39</v>
      </c>
      <c r="R16" s="167"/>
      <c r="S16" s="82" t="str">
        <f>IFERROR(IF(COUNTIF(职业!$U$4:$U$13,人物卡!Q16)=1,"☑","☐"),"")</f>
        <v>☐</v>
      </c>
      <c r="T16" s="82"/>
      <c r="U16" s="83">
        <f t="shared" ref="U16:U24" si="0">IF($S16="☑",$T16*2,$T16)</f>
        <v>0</v>
      </c>
      <c r="V16" s="84">
        <f>U16</f>
        <v>0</v>
      </c>
    </row>
    <row r="17" spans="3:22">
      <c r="C17" s="178" t="s">
        <v>40</v>
      </c>
      <c r="D17" s="179"/>
      <c r="E17" s="85" t="str">
        <f>IFERROR(IF(COUNTIF(职业!$U$4:$U$13,人物卡!C17)=1,"☑","☐"),"")</f>
        <v>☐</v>
      </c>
      <c r="F17" s="85"/>
      <c r="G17" s="86">
        <f t="shared" ref="G17:G26" si="1">IF(E17="☑",F17*2,F17)</f>
        <v>0</v>
      </c>
      <c r="H17" s="87">
        <f t="shared" ref="H17:H26" si="2">G17</f>
        <v>0</v>
      </c>
      <c r="I17" s="93"/>
      <c r="J17" s="161" t="s">
        <v>41</v>
      </c>
      <c r="K17" s="162"/>
      <c r="L17" s="85" t="str">
        <f>IFERROR(IF(COUNTIF(职业!$U$4:$U$13,人物卡!J17)=1,"☑","☐"),"")</f>
        <v>☐</v>
      </c>
      <c r="M17" s="85"/>
      <c r="N17" s="86">
        <f t="shared" ref="N17:N19" si="3">IF(L17="☑",M17*2,M17)</f>
        <v>0</v>
      </c>
      <c r="O17" s="87">
        <f>N17</f>
        <v>0</v>
      </c>
      <c r="P17" s="93"/>
      <c r="Q17" s="161" t="s">
        <v>42</v>
      </c>
      <c r="R17" s="162"/>
      <c r="S17" s="85" t="str">
        <f>IFERROR(IF(COUNTIF(职业!$U$4:$U$13,人物卡!Q17)=1,"☑","☐"),"")</f>
        <v>☐</v>
      </c>
      <c r="T17" s="85"/>
      <c r="U17" s="86">
        <f t="shared" si="0"/>
        <v>0</v>
      </c>
      <c r="V17" s="87">
        <f t="shared" ref="V17:V39" si="4">U17</f>
        <v>0</v>
      </c>
    </row>
    <row r="18" spans="3:22">
      <c r="C18" s="176" t="s">
        <v>43</v>
      </c>
      <c r="D18" s="177"/>
      <c r="E18" s="82" t="str">
        <f>IFERROR(IF(COUNTIF(职业!$U$4:$U$13,人物卡!C18)=1,"☑","☐"),"")</f>
        <v>☐</v>
      </c>
      <c r="F18" s="82"/>
      <c r="G18" s="83">
        <f t="shared" si="1"/>
        <v>0</v>
      </c>
      <c r="H18" s="84">
        <f t="shared" si="2"/>
        <v>0</v>
      </c>
      <c r="I18" s="93"/>
      <c r="J18" s="166" t="s">
        <v>44</v>
      </c>
      <c r="K18" s="167"/>
      <c r="L18" s="82" t="str">
        <f>IFERROR(IF(COUNTIF(职业!$U$4:$U$13,人物卡!J18)=1,"☑","☐"),"")</f>
        <v>☐</v>
      </c>
      <c r="M18" s="82"/>
      <c r="N18" s="83">
        <f t="shared" si="3"/>
        <v>0</v>
      </c>
      <c r="O18" s="84">
        <f t="shared" ref="O18:O26" si="5">N18</f>
        <v>0</v>
      </c>
      <c r="P18" s="93"/>
      <c r="Q18" s="166" t="s">
        <v>45</v>
      </c>
      <c r="R18" s="167"/>
      <c r="S18" s="82" t="str">
        <f>IFERROR(IF(COUNTIF(职业!$U$4:$U$13,人物卡!Q18)=1,"☑","☐"),"")</f>
        <v>☐</v>
      </c>
      <c r="T18" s="82"/>
      <c r="U18" s="83">
        <f t="shared" si="0"/>
        <v>0</v>
      </c>
      <c r="V18" s="84">
        <f t="shared" si="4"/>
        <v>0</v>
      </c>
    </row>
    <row r="19" spans="3:22">
      <c r="C19" s="178" t="s">
        <v>46</v>
      </c>
      <c r="D19" s="179"/>
      <c r="E19" s="85" t="str">
        <f>IFERROR(IF(COUNTIF(职业!$U$4:$U$13,人物卡!C19)=1,"☑","☐"),"")</f>
        <v>☐</v>
      </c>
      <c r="F19" s="85"/>
      <c r="G19" s="86">
        <f t="shared" si="1"/>
        <v>0</v>
      </c>
      <c r="H19" s="87">
        <f t="shared" si="2"/>
        <v>0</v>
      </c>
      <c r="I19" s="93"/>
      <c r="J19" s="161" t="s">
        <v>47</v>
      </c>
      <c r="K19" s="162"/>
      <c r="L19" s="85" t="str">
        <f>IFERROR(IF(COUNTIF(职业!$U$4:$U$13,人物卡!J19)=1,"☑","☐"),"")</f>
        <v>☐</v>
      </c>
      <c r="M19" s="85"/>
      <c r="N19" s="86">
        <f t="shared" si="3"/>
        <v>0</v>
      </c>
      <c r="O19" s="87">
        <f t="shared" si="5"/>
        <v>0</v>
      </c>
      <c r="P19" s="93"/>
      <c r="Q19" s="161" t="s">
        <v>48</v>
      </c>
      <c r="R19" s="162"/>
      <c r="S19" s="85" t="str">
        <f>IFERROR(IF(COUNTIF(职业!$U$4:$U$13,人物卡!Q19)=1,"☑","☐"),"")</f>
        <v>☐</v>
      </c>
      <c r="T19" s="85"/>
      <c r="U19" s="86">
        <f t="shared" si="0"/>
        <v>0</v>
      </c>
      <c r="V19" s="87">
        <f t="shared" si="4"/>
        <v>0</v>
      </c>
    </row>
    <row r="20" spans="3:22">
      <c r="C20" s="176" t="s">
        <v>49</v>
      </c>
      <c r="D20" s="177"/>
      <c r="E20" s="82" t="str">
        <f>IFERROR(IF(COUNTIF(职业!$U$4:$U$13,人物卡!C20)=1,"☑","☐"),"")</f>
        <v>☐</v>
      </c>
      <c r="F20" s="82"/>
      <c r="G20" s="83">
        <f t="shared" si="1"/>
        <v>0</v>
      </c>
      <c r="H20" s="84">
        <f t="shared" si="2"/>
        <v>0</v>
      </c>
      <c r="I20" s="93"/>
      <c r="J20" s="166" t="s">
        <v>50</v>
      </c>
      <c r="K20" s="167"/>
      <c r="L20" s="82">
        <f>IFERROR(VLOOKUP(E6,职业!A3:E25,3,FALSE),0)</f>
        <v>0</v>
      </c>
      <c r="M20" s="82"/>
      <c r="N20" s="94">
        <f>IF(L20=0,M20,IF(E6=职业!A12,0,IF(E6=职业!A10,L20+M20*2,IF((M20+L20-VLOOKUP(人物卡!E6,职业!A1:E25,5,FALSE))&lt;=0,L20+M20,ROUND((VLOOKUP(人物卡!E6,职业!A1:E25,5,FALSE)+(M20+L20-VLOOKUP(人物卡!E6,职业!A1:E25,5,FALSE))/2)-0.1,)))))</f>
        <v>0</v>
      </c>
      <c r="O20" s="95">
        <f t="shared" si="5"/>
        <v>0</v>
      </c>
      <c r="P20" s="93"/>
      <c r="Q20" s="166" t="s">
        <v>51</v>
      </c>
      <c r="R20" s="167"/>
      <c r="S20" s="82" t="str">
        <f>IFERROR(IF(COUNTIF(职业!$U$4:$U$13,人物卡!Q20)=1,"☑","☐"),"")</f>
        <v>☐</v>
      </c>
      <c r="T20" s="82"/>
      <c r="U20" s="83">
        <f t="shared" si="0"/>
        <v>0</v>
      </c>
      <c r="V20" s="84">
        <f t="shared" si="4"/>
        <v>0</v>
      </c>
    </row>
    <row r="21" spans="3:22">
      <c r="C21" s="178" t="s">
        <v>52</v>
      </c>
      <c r="D21" s="179"/>
      <c r="E21" s="85" t="str">
        <f>IFERROR(IF(COUNTIF(职业!$U$4:$U$13,人物卡!C21)=1,"☑","☐"),"")</f>
        <v>☐</v>
      </c>
      <c r="F21" s="85"/>
      <c r="G21" s="86">
        <f t="shared" si="1"/>
        <v>0</v>
      </c>
      <c r="H21" s="87">
        <f t="shared" si="2"/>
        <v>0</v>
      </c>
      <c r="I21" s="93"/>
      <c r="J21" s="161" t="s">
        <v>53</v>
      </c>
      <c r="K21" s="162"/>
      <c r="L21" s="85" t="str">
        <f>IFERROR(IF(COUNTIF(职业!$U$4:$U$13,人物卡!J21)=1,"☑","☐"),"")</f>
        <v>☐</v>
      </c>
      <c r="M21" s="85"/>
      <c r="N21" s="86">
        <f>IF(L21="☑",M21*2,M21)</f>
        <v>0</v>
      </c>
      <c r="O21" s="87">
        <f t="shared" si="5"/>
        <v>0</v>
      </c>
      <c r="P21" s="93"/>
      <c r="Q21" s="161" t="s">
        <v>54</v>
      </c>
      <c r="R21" s="162"/>
      <c r="S21" s="85" t="str">
        <f>IFERROR(IF(COUNTIF(职业!$U$4:$U$13,人物卡!Q21)=1,"☑","☐"),"")</f>
        <v>☐</v>
      </c>
      <c r="T21" s="85"/>
      <c r="U21" s="86">
        <f t="shared" si="0"/>
        <v>0</v>
      </c>
      <c r="V21" s="87">
        <f t="shared" si="4"/>
        <v>0</v>
      </c>
    </row>
    <row r="22" spans="3:22">
      <c r="C22" s="176" t="s">
        <v>55</v>
      </c>
      <c r="D22" s="177"/>
      <c r="E22" s="82" t="s">
        <v>56</v>
      </c>
      <c r="F22" s="82"/>
      <c r="G22" s="83">
        <f>F22</f>
        <v>0</v>
      </c>
      <c r="H22" s="84">
        <f t="shared" si="2"/>
        <v>0</v>
      </c>
      <c r="I22" s="93"/>
      <c r="J22" s="166" t="s">
        <v>57</v>
      </c>
      <c r="K22" s="167"/>
      <c r="L22" s="82" t="str">
        <f>IFERROR(IF(COUNTIF(职业!$U$4:$U$13,人物卡!J22)=1,"☑","☐"),"")</f>
        <v>☐</v>
      </c>
      <c r="M22" s="82"/>
      <c r="N22" s="83">
        <f t="shared" ref="N22:N26" si="6">IF(L22="☑",M22*2,M22)</f>
        <v>0</v>
      </c>
      <c r="O22" s="84">
        <f t="shared" si="5"/>
        <v>0</v>
      </c>
      <c r="P22" s="93"/>
      <c r="Q22" s="166" t="s">
        <v>58</v>
      </c>
      <c r="R22" s="167"/>
      <c r="S22" s="82" t="str">
        <f>IFERROR(IF(COUNTIF(职业!$U$4:$U$13,人物卡!Q22)=1,"☑","☐"),"")</f>
        <v>☐</v>
      </c>
      <c r="T22" s="82"/>
      <c r="U22" s="83">
        <f t="shared" si="0"/>
        <v>0</v>
      </c>
      <c r="V22" s="84">
        <f t="shared" si="4"/>
        <v>0</v>
      </c>
    </row>
    <row r="23" spans="3:22" ht="15" customHeight="1">
      <c r="C23" s="178" t="s">
        <v>59</v>
      </c>
      <c r="D23" s="179"/>
      <c r="E23" s="85" t="str">
        <f>IFERROR(IF(COUNTIF(职业!$U$4:$U$13,人物卡!C23)=1,"☑","☐"),"")</f>
        <v>☐</v>
      </c>
      <c r="F23" s="85"/>
      <c r="G23" s="86">
        <f t="shared" si="1"/>
        <v>0</v>
      </c>
      <c r="H23" s="87">
        <f t="shared" si="2"/>
        <v>0</v>
      </c>
      <c r="I23" s="93"/>
      <c r="J23" s="161" t="s">
        <v>60</v>
      </c>
      <c r="K23" s="162"/>
      <c r="L23" s="85" t="str">
        <f>IFERROR(IF(COUNTIF(职业!$U$4:$U$13,人物卡!J23)=1,"☑","☐"),"")</f>
        <v>☐</v>
      </c>
      <c r="M23" s="85"/>
      <c r="N23" s="86">
        <f t="shared" si="6"/>
        <v>0</v>
      </c>
      <c r="O23" s="87">
        <f t="shared" si="5"/>
        <v>0</v>
      </c>
      <c r="P23" s="93"/>
      <c r="Q23" s="161" t="s">
        <v>61</v>
      </c>
      <c r="R23" s="162"/>
      <c r="S23" s="85" t="str">
        <f>IFERROR(IF(COUNTIF(职业!$U$4:$U$13,人物卡!Q23)=1,"☑","☐"),"")</f>
        <v>☐</v>
      </c>
      <c r="T23" s="85"/>
      <c r="U23" s="86">
        <f t="shared" si="0"/>
        <v>0</v>
      </c>
      <c r="V23" s="87">
        <f t="shared" si="4"/>
        <v>0</v>
      </c>
    </row>
    <row r="24" spans="3:22">
      <c r="C24" s="176" t="s">
        <v>62</v>
      </c>
      <c r="D24" s="177"/>
      <c r="E24" s="82" t="str">
        <f>IFERROR(IF(COUNTIF(职业!$U$4:$U$13,人物卡!C24)=1,"☑","☐"),"")</f>
        <v>☐</v>
      </c>
      <c r="F24" s="82"/>
      <c r="G24" s="83">
        <f t="shared" si="1"/>
        <v>0</v>
      </c>
      <c r="H24" s="84">
        <f t="shared" si="2"/>
        <v>0</v>
      </c>
      <c r="I24" s="93"/>
      <c r="J24" s="166" t="s">
        <v>63</v>
      </c>
      <c r="K24" s="167"/>
      <c r="L24" s="82" t="str">
        <f>IFERROR(IF(COUNTIF(职业!$U$4:$U$13,人物卡!J24)=1,"☑","☐"),"")</f>
        <v>☐</v>
      </c>
      <c r="M24" s="82"/>
      <c r="N24" s="83">
        <f t="shared" si="6"/>
        <v>0</v>
      </c>
      <c r="O24" s="84">
        <f t="shared" si="5"/>
        <v>0</v>
      </c>
      <c r="P24" s="93"/>
      <c r="Q24" s="166" t="s">
        <v>64</v>
      </c>
      <c r="R24" s="167"/>
      <c r="S24" s="82" t="str">
        <f>IFERROR(IF(COUNTIF(职业!$U$4:$U$13,人物卡!Q24)=1,"☑","☐"),"")</f>
        <v>☐</v>
      </c>
      <c r="T24" s="82"/>
      <c r="U24" s="83">
        <f t="shared" si="0"/>
        <v>0</v>
      </c>
      <c r="V24" s="84">
        <f t="shared" si="4"/>
        <v>0</v>
      </c>
    </row>
    <row r="25" spans="3:22">
      <c r="C25" s="178" t="s">
        <v>65</v>
      </c>
      <c r="D25" s="179"/>
      <c r="E25" s="85" t="str">
        <f>IFERROR(IF(COUNTIF(职业!$U$4:$U$13,人物卡!C25)=1,"☑","☐"),"")</f>
        <v>☐</v>
      </c>
      <c r="F25" s="85"/>
      <c r="G25" s="86">
        <f t="shared" si="1"/>
        <v>0</v>
      </c>
      <c r="H25" s="87">
        <f t="shared" si="2"/>
        <v>0</v>
      </c>
      <c r="I25" s="93"/>
      <c r="J25" s="161" t="s">
        <v>66</v>
      </c>
      <c r="K25" s="162"/>
      <c r="L25" s="85" t="str">
        <f>IFERROR(IF(COUNTIF(职业!$U$4:$U$13,人物卡!J25)=1,"☑","☐"),"")</f>
        <v>☐</v>
      </c>
      <c r="M25" s="85"/>
      <c r="N25" s="86">
        <f t="shared" si="6"/>
        <v>0</v>
      </c>
      <c r="O25" s="87">
        <f t="shared" si="5"/>
        <v>0</v>
      </c>
      <c r="P25" s="93"/>
      <c r="Q25" s="161" t="s">
        <v>67</v>
      </c>
      <c r="R25" s="162"/>
      <c r="S25" s="85" t="str">
        <f>IFERROR(IF(COUNTIF(职业!$U$4:$U$13,人物卡!Q25)=1,"☑","☐"),"")</f>
        <v>☐</v>
      </c>
      <c r="T25" s="85"/>
      <c r="U25" s="86">
        <f>IF(T16=0,T25*2,IF((T25/T16)&gt;=2,(T25-T16*2)*2+T25-(T25-T16*2),T25))</f>
        <v>0</v>
      </c>
      <c r="V25" s="87">
        <f t="shared" si="4"/>
        <v>0</v>
      </c>
    </row>
    <row r="26" spans="3:22">
      <c r="C26" s="176" t="s">
        <v>68</v>
      </c>
      <c r="D26" s="177"/>
      <c r="E26" s="82" t="str">
        <f>IFERROR(IF(COUNTIF(职业!$U$4:$U$13,人物卡!C26)=1,"☑","☐"),"")</f>
        <v>☐</v>
      </c>
      <c r="F26" s="82"/>
      <c r="G26" s="83">
        <f t="shared" si="1"/>
        <v>0</v>
      </c>
      <c r="H26" s="84">
        <f t="shared" si="2"/>
        <v>0</v>
      </c>
      <c r="I26" s="93"/>
      <c r="J26" s="185" t="s">
        <v>69</v>
      </c>
      <c r="K26" s="186"/>
      <c r="L26" s="88" t="str">
        <f>IFERROR(IF(COUNTIF(职业!$U$4:$U$13,人物卡!J26)=1,"☑","☐"),"")</f>
        <v>☐</v>
      </c>
      <c r="M26" s="88"/>
      <c r="N26" s="89">
        <f t="shared" si="6"/>
        <v>0</v>
      </c>
      <c r="O26" s="90">
        <f t="shared" si="5"/>
        <v>0</v>
      </c>
      <c r="P26" s="93"/>
      <c r="Q26" s="166" t="s">
        <v>15</v>
      </c>
      <c r="R26" s="167"/>
      <c r="S26" s="83">
        <v>1</v>
      </c>
      <c r="T26" s="82"/>
      <c r="U26" s="83">
        <f>IF(S26=1,1+T26,T26*2)</f>
        <v>1</v>
      </c>
      <c r="V26" s="84">
        <f t="shared" si="4"/>
        <v>1</v>
      </c>
    </row>
    <row r="27" spans="3:22">
      <c r="C27" s="178" t="s">
        <v>70</v>
      </c>
      <c r="D27" s="179"/>
      <c r="E27" s="85" t="str">
        <f>IFERROR(IF(COUNTIF(职业!$U$4:$U$13,人物卡!C27)=1,"☑","☐"),"")</f>
        <v>☐</v>
      </c>
      <c r="F27" s="85"/>
      <c r="G27" s="86">
        <f t="shared" ref="G27:G32" si="7">IF(E27="☑",F27*2,F27)</f>
        <v>0</v>
      </c>
      <c r="H27" s="87">
        <f t="shared" ref="H27:H32" si="8">G27</f>
        <v>0</v>
      </c>
      <c r="I27" s="93"/>
      <c r="J27" s="181" t="s">
        <v>71</v>
      </c>
      <c r="K27" s="181"/>
      <c r="L27" s="181"/>
      <c r="M27" s="181"/>
      <c r="N27" s="181"/>
      <c r="O27" s="181"/>
      <c r="Q27" s="161" t="s">
        <v>72</v>
      </c>
      <c r="R27" s="162"/>
      <c r="S27" s="85" t="str">
        <f>IFERROR(IF(COUNTIF(职业!$U$4:$U$13,人物卡!Q27)=1,"☑","☐"),"")</f>
        <v>☐</v>
      </c>
      <c r="T27" s="85"/>
      <c r="U27" s="86">
        <f t="shared" ref="U27:U32" si="9">IF($S27="☑",$T27*2,$T27)</f>
        <v>0</v>
      </c>
      <c r="V27" s="87">
        <f t="shared" si="4"/>
        <v>0</v>
      </c>
    </row>
    <row r="28" spans="3:22" ht="18">
      <c r="C28" s="176" t="s">
        <v>73</v>
      </c>
      <c r="D28" s="177"/>
      <c r="E28" s="82" t="str">
        <f>IFERROR(IF(COUNTIF(职业!$U$4:$U$13,人物卡!C28)=1,"☑","☐"),"")</f>
        <v>☐</v>
      </c>
      <c r="F28" s="82"/>
      <c r="G28" s="83">
        <f t="shared" si="7"/>
        <v>0</v>
      </c>
      <c r="H28" s="84">
        <f t="shared" si="8"/>
        <v>0</v>
      </c>
      <c r="I28" s="93"/>
      <c r="J28" s="182" t="s">
        <v>74</v>
      </c>
      <c r="K28" s="183"/>
      <c r="L28" s="183"/>
      <c r="M28" s="183"/>
      <c r="N28" s="183"/>
      <c r="O28" s="184"/>
      <c r="P28" s="93"/>
      <c r="Q28" s="166" t="s">
        <v>75</v>
      </c>
      <c r="R28" s="167"/>
      <c r="S28" s="82" t="str">
        <f>IFERROR(IF(COUNTIF(职业!$U$4:$U$13,人物卡!Q28)=1,"☑","☐"),"")</f>
        <v>☐</v>
      </c>
      <c r="T28" s="82"/>
      <c r="U28" s="83">
        <f t="shared" si="9"/>
        <v>0</v>
      </c>
      <c r="V28" s="84">
        <f t="shared" si="4"/>
        <v>0</v>
      </c>
    </row>
    <row r="29" spans="3:22">
      <c r="C29" s="178" t="s">
        <v>76</v>
      </c>
      <c r="D29" s="179"/>
      <c r="E29" s="85" t="str">
        <f>IFERROR(IF(COUNTIF(职业!$U$4:$U$13,人物卡!C29)=1,"☑","☐"),"")</f>
        <v>☐</v>
      </c>
      <c r="F29" s="85"/>
      <c r="G29" s="86">
        <f t="shared" si="7"/>
        <v>0</v>
      </c>
      <c r="H29" s="87">
        <f t="shared" si="8"/>
        <v>0</v>
      </c>
      <c r="I29" s="93"/>
      <c r="J29" s="156" t="s">
        <v>33</v>
      </c>
      <c r="K29" s="157"/>
      <c r="L29" s="25" t="s">
        <v>34</v>
      </c>
      <c r="M29" s="25" t="s">
        <v>35</v>
      </c>
      <c r="N29" s="25" t="s">
        <v>26</v>
      </c>
      <c r="O29" s="81" t="s">
        <v>28</v>
      </c>
      <c r="P29" s="93"/>
      <c r="Q29" s="161" t="s">
        <v>77</v>
      </c>
      <c r="R29" s="162"/>
      <c r="S29" s="85" t="str">
        <f>IFERROR(IF(COUNTIF(职业!$U$4:$U$13,人物卡!Q29)=1,"☑","☐"),"")</f>
        <v>☐</v>
      </c>
      <c r="T29" s="85"/>
      <c r="U29" s="86">
        <f t="shared" si="9"/>
        <v>0</v>
      </c>
      <c r="V29" s="87">
        <f t="shared" si="4"/>
        <v>0</v>
      </c>
    </row>
    <row r="30" spans="3:22">
      <c r="C30" s="176" t="s">
        <v>78</v>
      </c>
      <c r="D30" s="177"/>
      <c r="E30" s="82" t="str">
        <f>IFERROR(IF(COUNTIF(职业!$U$4:$U$13,人物卡!C30)=1,"☑","☐"),"")</f>
        <v>☐</v>
      </c>
      <c r="F30" s="82"/>
      <c r="G30" s="83">
        <f t="shared" si="7"/>
        <v>0</v>
      </c>
      <c r="H30" s="84">
        <f t="shared" si="8"/>
        <v>0</v>
      </c>
      <c r="I30" s="93"/>
      <c r="J30" s="166" t="s">
        <v>79</v>
      </c>
      <c r="K30" s="167"/>
      <c r="L30" s="82" t="str">
        <f>IFERROR(IF(COUNTIF(职业!$U$4:$U$13,人物卡!J30)=1,"☑","☐"),"")</f>
        <v>☐</v>
      </c>
      <c r="M30" s="82"/>
      <c r="N30" s="83">
        <f t="shared" ref="N30:N39" si="10">IF(L30="☑",M30*2,M30)</f>
        <v>0</v>
      </c>
      <c r="O30" s="84">
        <f>N30</f>
        <v>0</v>
      </c>
      <c r="P30" s="93"/>
      <c r="Q30" s="166" t="s">
        <v>80</v>
      </c>
      <c r="R30" s="167"/>
      <c r="S30" s="82" t="str">
        <f>IFERROR(IF(COUNTIF(职业!$U$4:$U$13,人物卡!Q30)=1,"☑","☐"),"")</f>
        <v>☐</v>
      </c>
      <c r="T30" s="82"/>
      <c r="U30" s="83">
        <f t="shared" si="9"/>
        <v>0</v>
      </c>
      <c r="V30" s="84">
        <f t="shared" si="4"/>
        <v>0</v>
      </c>
    </row>
    <row r="31" spans="3:22">
      <c r="C31" s="178" t="s">
        <v>81</v>
      </c>
      <c r="D31" s="179"/>
      <c r="E31" s="85" t="str">
        <f>IFERROR(IF(COUNTIF(职业!$U$4:$U$13,人物卡!C31)=1,"☑","☐"),"")</f>
        <v>☐</v>
      </c>
      <c r="F31" s="85"/>
      <c r="G31" s="86">
        <f t="shared" si="7"/>
        <v>0</v>
      </c>
      <c r="H31" s="87">
        <f t="shared" si="8"/>
        <v>0</v>
      </c>
      <c r="I31" s="93"/>
      <c r="J31" s="161" t="s">
        <v>82</v>
      </c>
      <c r="K31" s="162"/>
      <c r="L31" s="85" t="str">
        <f>IFERROR(IF(COUNTIF(职业!$U$4:$U$13,人物卡!J31)=1,"☑","☐"),"")</f>
        <v>☐</v>
      </c>
      <c r="M31" s="85"/>
      <c r="N31" s="86">
        <f t="shared" si="10"/>
        <v>0</v>
      </c>
      <c r="O31" s="87">
        <f t="shared" ref="O31:O39" si="11">N31</f>
        <v>0</v>
      </c>
      <c r="P31" s="93"/>
      <c r="Q31" s="161" t="s">
        <v>83</v>
      </c>
      <c r="R31" s="162"/>
      <c r="S31" s="85" t="str">
        <f>IFERROR(IF(COUNTIF(职业!$U$4:$U$13,人物卡!Q31)=1,"☑","☐"),"")</f>
        <v>☐</v>
      </c>
      <c r="T31" s="85"/>
      <c r="U31" s="86">
        <f t="shared" si="9"/>
        <v>0</v>
      </c>
      <c r="V31" s="87">
        <f t="shared" si="4"/>
        <v>0</v>
      </c>
    </row>
    <row r="32" spans="3:22">
      <c r="C32" s="180" t="s">
        <v>84</v>
      </c>
      <c r="D32" s="150"/>
      <c r="E32" s="88" t="str">
        <f>IFERROR(IF(COUNTIF(职业!$U$4:$U$13,人物卡!C32)=1,"☑","☐"),"")</f>
        <v>☐</v>
      </c>
      <c r="F32" s="88"/>
      <c r="G32" s="89">
        <f t="shared" si="7"/>
        <v>0</v>
      </c>
      <c r="H32" s="90">
        <f t="shared" si="8"/>
        <v>0</v>
      </c>
      <c r="I32" s="93"/>
      <c r="J32" s="166" t="s">
        <v>85</v>
      </c>
      <c r="K32" s="167"/>
      <c r="L32" s="82" t="str">
        <f>IFERROR(IF(COUNTIF(职业!$U$4:$U$13,人物卡!J32)=1,"☑","☐"),"")</f>
        <v>☐</v>
      </c>
      <c r="M32" s="82"/>
      <c r="N32" s="83">
        <f t="shared" si="10"/>
        <v>0</v>
      </c>
      <c r="O32" s="84">
        <f t="shared" si="11"/>
        <v>0</v>
      </c>
      <c r="P32" s="93"/>
      <c r="Q32" s="166" t="s">
        <v>86</v>
      </c>
      <c r="R32" s="167"/>
      <c r="S32" s="82" t="str">
        <f>IFERROR(IF(COUNTIF(职业!$U$4:$U$13,人物卡!Q32)=1,"☑","☐"),"")</f>
        <v>☐</v>
      </c>
      <c r="T32" s="82"/>
      <c r="U32" s="83">
        <f t="shared" si="9"/>
        <v>0</v>
      </c>
      <c r="V32" s="84">
        <f t="shared" si="4"/>
        <v>0</v>
      </c>
    </row>
    <row r="33" spans="1:24">
      <c r="I33" s="93"/>
      <c r="J33" s="161" t="s">
        <v>87</v>
      </c>
      <c r="K33" s="162"/>
      <c r="L33" s="85" t="str">
        <f>IFERROR(IF(COUNTIF(职业!$U$4:$U$13,人物卡!J33)=1,"☑","☐"),"")</f>
        <v>☐</v>
      </c>
      <c r="M33" s="85"/>
      <c r="N33" s="86">
        <f t="shared" si="10"/>
        <v>0</v>
      </c>
      <c r="O33" s="87">
        <f t="shared" si="11"/>
        <v>0</v>
      </c>
      <c r="P33" s="93"/>
      <c r="Q33" s="161" t="s">
        <v>7</v>
      </c>
      <c r="R33" s="162"/>
      <c r="S33" s="86">
        <v>4</v>
      </c>
      <c r="T33" s="85"/>
      <c r="U33" s="86">
        <f>IF(S33=4,T33+4,T33*2)</f>
        <v>4</v>
      </c>
      <c r="V33" s="87">
        <f t="shared" si="4"/>
        <v>4</v>
      </c>
    </row>
    <row r="34" spans="1:24">
      <c r="C34" s="173" t="str">
        <f>"任意社交能力数："&amp;IF(SUMIF(职业!$U$4:$U$13,J40,职业!$V$4:$V$13)=0,"无",SUMIF(职业!$U$4:$U$13,J40,职业!$V$4:$V$13))</f>
        <v>任意社交能力数：无</v>
      </c>
      <c r="D34" s="174"/>
      <c r="E34" s="174"/>
      <c r="F34" s="174"/>
      <c r="G34" s="174"/>
      <c r="H34" s="175"/>
      <c r="I34" s="93"/>
      <c r="J34" s="166" t="s">
        <v>88</v>
      </c>
      <c r="K34" s="167"/>
      <c r="L34" s="82" t="str">
        <f>IFERROR(IF(COUNTIF(职业!$U$4:$U$13,人物卡!J34)=1,"☑","☐"),"")</f>
        <v>☐</v>
      </c>
      <c r="M34" s="82"/>
      <c r="N34" s="83">
        <f t="shared" si="10"/>
        <v>0</v>
      </c>
      <c r="O34" s="84">
        <f t="shared" si="11"/>
        <v>0</v>
      </c>
      <c r="P34" s="93"/>
      <c r="Q34" s="166" t="s">
        <v>12</v>
      </c>
      <c r="R34" s="167"/>
      <c r="S34" s="83">
        <v>1</v>
      </c>
      <c r="T34" s="82"/>
      <c r="U34" s="83">
        <f>IF(S34=1,T34+1,T34*2)</f>
        <v>1</v>
      </c>
      <c r="V34" s="84">
        <f t="shared" si="4"/>
        <v>1</v>
      </c>
    </row>
    <row r="35" spans="1:24">
      <c r="C35" s="158" t="str">
        <f>"任意学术能力数："&amp;IF(SUMIF(职业!$U$4:$U$13,K40,职业!$V$4:$V$13)=0,"无",SUMIF(职业!$U$4:$U$13,K40,职业!$V$4:$V$13))</f>
        <v>任意学术能力数：无</v>
      </c>
      <c r="D35" s="159"/>
      <c r="E35" s="159"/>
      <c r="F35" s="159"/>
      <c r="G35" s="159"/>
      <c r="H35" s="160"/>
      <c r="I35" s="93"/>
      <c r="J35" s="161" t="s">
        <v>89</v>
      </c>
      <c r="K35" s="162"/>
      <c r="L35" s="85" t="str">
        <f>IFERROR(IF(COUNTIF(职业!$U$4:$U$13,人物卡!J35)=1,"☑","☐"),"")</f>
        <v>☐</v>
      </c>
      <c r="M35" s="85"/>
      <c r="N35" s="86">
        <f t="shared" si="10"/>
        <v>0</v>
      </c>
      <c r="O35" s="87">
        <f t="shared" si="11"/>
        <v>0</v>
      </c>
      <c r="P35" s="93"/>
      <c r="Q35" s="161" t="s">
        <v>90</v>
      </c>
      <c r="R35" s="162"/>
      <c r="S35" s="85" t="str">
        <f>IFERROR(IF(COUNTIF(职业!$U$4:$U$13,人物卡!Q35)=1,"☑","☐"),"")</f>
        <v>☐</v>
      </c>
      <c r="T35" s="85"/>
      <c r="U35" s="86">
        <f>IF($S35="☑",$T35*2,$T35)</f>
        <v>0</v>
      </c>
      <c r="V35" s="87">
        <f t="shared" si="4"/>
        <v>0</v>
      </c>
    </row>
    <row r="36" spans="1:24">
      <c r="C36" s="163" t="str">
        <f>"任意调查能力数："&amp;IF(SUMIF(职业!$U$4:$U$13,L40,职业!$V$4:$V$13)=0,"无",SUMIF(职业!$U$4:$U$13,L40,职业!$V$4:$V$13))</f>
        <v>任意调查能力数：无</v>
      </c>
      <c r="D36" s="164"/>
      <c r="E36" s="164"/>
      <c r="F36" s="164"/>
      <c r="G36" s="164"/>
      <c r="H36" s="165"/>
      <c r="I36" s="93"/>
      <c r="J36" s="166" t="s">
        <v>91</v>
      </c>
      <c r="K36" s="167"/>
      <c r="L36" s="82" t="str">
        <f>IFERROR(IF(COUNTIF(职业!$U$4:$U$13,人物卡!J36)=1,"☑","☐"),"")</f>
        <v>☐</v>
      </c>
      <c r="M36" s="82"/>
      <c r="N36" s="83">
        <f t="shared" si="10"/>
        <v>0</v>
      </c>
      <c r="O36" s="84">
        <f t="shared" si="11"/>
        <v>0</v>
      </c>
      <c r="P36" s="93"/>
      <c r="Q36" s="166" t="s">
        <v>92</v>
      </c>
      <c r="R36" s="167"/>
      <c r="S36" s="82" t="str">
        <f>IFERROR(IF(COUNTIF(职业!$U$4:$U$13,人物卡!Q36)=1,"☑","☐"),"")</f>
        <v>☐</v>
      </c>
      <c r="T36" s="82"/>
      <c r="U36" s="83">
        <f>IF($S36="☑",$T36*2,$T36)</f>
        <v>0</v>
      </c>
      <c r="V36" s="84">
        <f t="shared" si="4"/>
        <v>0</v>
      </c>
    </row>
    <row r="37" spans="1:24">
      <c r="C37" s="158" t="str">
        <f>"任意学术或社交能力数："&amp;IF(SUMIF(职业!$U$4:$U$13,M40,职业!$V$4:$V$13)=0,"无",SUMIF(职业!$U$4:$U$13,M40,职业!$V$4:$V$13))</f>
        <v>任意学术或社交能力数：无</v>
      </c>
      <c r="D37" s="159"/>
      <c r="E37" s="159"/>
      <c r="F37" s="159"/>
      <c r="G37" s="159"/>
      <c r="H37" s="160"/>
      <c r="I37" s="93"/>
      <c r="J37" s="161" t="s">
        <v>93</v>
      </c>
      <c r="K37" s="162"/>
      <c r="L37" s="85" t="str">
        <f>IFERROR(IF(COUNTIF(职业!$U$4:$U$13,人物卡!J37)=1,"☑","☐"),"")</f>
        <v>☐</v>
      </c>
      <c r="M37" s="85"/>
      <c r="N37" s="86">
        <f t="shared" si="10"/>
        <v>0</v>
      </c>
      <c r="O37" s="87">
        <f t="shared" si="11"/>
        <v>0</v>
      </c>
      <c r="P37" s="93"/>
      <c r="Q37" s="161" t="s">
        <v>94</v>
      </c>
      <c r="R37" s="162"/>
      <c r="S37" s="85" t="str">
        <f>IFERROR(IF(COUNTIF(职业!$U$4:$U$13,人物卡!Q37)=1,"☑","☐"),"")</f>
        <v>☐</v>
      </c>
      <c r="T37" s="85"/>
      <c r="U37" s="86">
        <f>IF($S37="☑",$T37*2,$T37)</f>
        <v>0</v>
      </c>
      <c r="V37" s="87">
        <f t="shared" si="4"/>
        <v>0</v>
      </c>
    </row>
    <row r="38" spans="1:24">
      <c r="C38" s="163" t="str">
        <f>"任意社交或技术能力数："&amp;IF(SUMIF(职业!$U$4:$U$13,N40,职业!$V$4:$V$13)=0,"无",SUMIF(职业!$U$4:$U$13,N40,职业!$V$4:$V$13))</f>
        <v>任意社交或技术能力数：无</v>
      </c>
      <c r="D38" s="164"/>
      <c r="E38" s="164"/>
      <c r="F38" s="164"/>
      <c r="G38" s="164"/>
      <c r="H38" s="165"/>
      <c r="I38" s="93"/>
      <c r="J38" s="166" t="s">
        <v>95</v>
      </c>
      <c r="K38" s="167"/>
      <c r="L38" s="82" t="str">
        <f>IFERROR(IF(COUNTIF(职业!$U$4:$U$13,人物卡!J38)=1,"☑","☐"),"")</f>
        <v>☐</v>
      </c>
      <c r="M38" s="82"/>
      <c r="N38" s="83">
        <f t="shared" si="10"/>
        <v>0</v>
      </c>
      <c r="O38" s="84">
        <f t="shared" si="11"/>
        <v>0</v>
      </c>
      <c r="P38" s="93"/>
      <c r="Q38" s="166" t="s">
        <v>96</v>
      </c>
      <c r="R38" s="167"/>
      <c r="S38" s="82" t="str">
        <f>IFERROR(IF(COUNTIF(职业!$U$4:$U$13,人物卡!Q38)=1,"☑","☐"),"")</f>
        <v>☐</v>
      </c>
      <c r="T38" s="82"/>
      <c r="U38" s="83">
        <f>IF($S38="☑",$T38*2,$T38)</f>
        <v>0</v>
      </c>
      <c r="V38" s="84">
        <f t="shared" si="4"/>
        <v>0</v>
      </c>
    </row>
    <row r="39" spans="1:24">
      <c r="C39" s="168" t="str">
        <f>"任意能力数："&amp;IF(SUMIF(职业!$U$4:$U$13,O40,职业!$V$4:$V$13)=0,"无",SUMIF(职业!$U$4:$U$13,O40,职业!$V$4:$V$13))</f>
        <v>任意能力数：无</v>
      </c>
      <c r="D39" s="169"/>
      <c r="E39" s="169"/>
      <c r="F39" s="169"/>
      <c r="G39" s="169"/>
      <c r="H39" s="170"/>
      <c r="I39" s="93"/>
      <c r="J39" s="171" t="s">
        <v>97</v>
      </c>
      <c r="K39" s="172"/>
      <c r="L39" s="96" t="str">
        <f>IFERROR(IF(COUNTIF(职业!$U$4:$U$13,人物卡!J39)=1,"☑","☐"),"")</f>
        <v>☐</v>
      </c>
      <c r="M39" s="96"/>
      <c r="N39" s="97">
        <f t="shared" si="10"/>
        <v>0</v>
      </c>
      <c r="O39" s="98">
        <f t="shared" si="11"/>
        <v>0</v>
      </c>
      <c r="P39" s="93"/>
      <c r="Q39" s="171" t="s">
        <v>98</v>
      </c>
      <c r="R39" s="172"/>
      <c r="S39" s="96" t="str">
        <f>IFERROR(IF(COUNTIF(职业!$U$4:$U$13,人物卡!Q39)=1,"☑","☐"),"")</f>
        <v>☐</v>
      </c>
      <c r="T39" s="96"/>
      <c r="U39" s="97">
        <f>IF($S39="☑",$T39*2,$T39)</f>
        <v>0</v>
      </c>
      <c r="V39" s="98">
        <f t="shared" si="4"/>
        <v>0</v>
      </c>
    </row>
    <row r="40" spans="1:24">
      <c r="J40" s="99" t="s">
        <v>99</v>
      </c>
      <c r="K40" s="99" t="s">
        <v>100</v>
      </c>
      <c r="L40" s="99" t="s">
        <v>35</v>
      </c>
      <c r="M40" s="99" t="s">
        <v>101</v>
      </c>
      <c r="N40" s="99" t="s">
        <v>102</v>
      </c>
      <c r="O40" s="99" t="s">
        <v>103</v>
      </c>
    </row>
    <row r="41" spans="1:24" ht="18">
      <c r="C41" s="153" t="s">
        <v>23</v>
      </c>
      <c r="D41" s="154"/>
      <c r="E41" s="154"/>
      <c r="F41" s="154"/>
      <c r="G41" s="154"/>
      <c r="H41" s="154"/>
      <c r="I41" s="154"/>
      <c r="J41" s="154"/>
      <c r="K41" s="154"/>
      <c r="L41" s="154"/>
      <c r="M41" s="154"/>
      <c r="N41" s="154"/>
      <c r="O41" s="154"/>
      <c r="P41" s="154"/>
      <c r="Q41" s="154"/>
      <c r="R41" s="154"/>
      <c r="S41" s="154"/>
      <c r="T41" s="154"/>
      <c r="U41" s="154"/>
      <c r="V41" s="155"/>
    </row>
    <row r="42" spans="1:24">
      <c r="C42" s="156" t="s">
        <v>104</v>
      </c>
      <c r="D42" s="157"/>
      <c r="E42" s="157"/>
      <c r="F42" s="157"/>
      <c r="G42" s="157"/>
      <c r="H42" s="157"/>
      <c r="I42" s="157" t="s">
        <v>105</v>
      </c>
      <c r="J42" s="157"/>
      <c r="K42" s="157" t="s">
        <v>106</v>
      </c>
      <c r="L42" s="157"/>
      <c r="M42" s="157"/>
      <c r="N42" s="157"/>
      <c r="O42" s="157"/>
      <c r="P42" s="157"/>
      <c r="Q42" s="157"/>
      <c r="R42" s="157" t="s">
        <v>107</v>
      </c>
      <c r="S42" s="157"/>
      <c r="T42" s="25" t="s">
        <v>23</v>
      </c>
      <c r="U42" s="25" t="s">
        <v>25</v>
      </c>
      <c r="V42" s="81" t="s">
        <v>108</v>
      </c>
    </row>
    <row r="43" spans="1:24">
      <c r="C43" s="132" t="s">
        <v>109</v>
      </c>
      <c r="D43" s="133"/>
      <c r="E43" s="133"/>
      <c r="F43" s="133"/>
      <c r="G43" s="133"/>
      <c r="H43" s="133"/>
      <c r="I43" s="147" t="str">
        <f>IF(C43=0,"请选择武器",VLOOKUP(C43,武器列表!A2:V41,3,FALSE))</f>
        <v>/</v>
      </c>
      <c r="J43" s="147"/>
      <c r="K43" s="148">
        <f>IF(C43=0," ",VLOOKUP(C43,武器列表!$A$2:$V$41,5,FALSE))</f>
        <v>0</v>
      </c>
      <c r="L43" s="148"/>
      <c r="M43" s="148"/>
      <c r="N43" s="148"/>
      <c r="O43" s="148"/>
      <c r="P43" s="148"/>
      <c r="Q43" s="148"/>
      <c r="R43" s="149">
        <f>IF(C43=0," ",VLOOKUP(C43,武器列表!A2:V41,2,FALSE))</f>
        <v>-2</v>
      </c>
      <c r="S43" s="149"/>
      <c r="T43" s="66" t="str">
        <f>IF((T35="")*AND(T39="")*AND(T23=""),"-2",)</f>
        <v>-2</v>
      </c>
      <c r="U43" s="103"/>
      <c r="V43" s="104" t="str">
        <f>"D"&amp;IF((R43+U43+T43)&gt;=0,"+",)&amp;(R43+U43+T43)</f>
        <v>D-4</v>
      </c>
    </row>
    <row r="44" spans="1:24">
      <c r="C44" s="132"/>
      <c r="D44" s="133"/>
      <c r="E44" s="133"/>
      <c r="F44" s="133"/>
      <c r="G44" s="133"/>
      <c r="H44" s="133"/>
      <c r="I44" s="147" t="str">
        <f>IF(C44=0,"请选择武器",VLOOKUP(C44,武器列表!A3:V42,3,FALSE))</f>
        <v>请选择武器</v>
      </c>
      <c r="J44" s="147"/>
      <c r="K44" s="148" t="str">
        <f>IF(C44=0," ",VLOOKUP(C44,武器列表!$A$2:$V$41,5,FALSE))</f>
        <v/>
      </c>
      <c r="L44" s="148"/>
      <c r="M44" s="148"/>
      <c r="N44" s="148"/>
      <c r="O44" s="148"/>
      <c r="P44" s="148"/>
      <c r="Q44" s="148"/>
      <c r="R44" s="149" t="str">
        <f>IF(C44=0," ",VLOOKUP(C44,武器列表!A3:V42,2,FALSE))</f>
        <v/>
      </c>
      <c r="S44" s="149"/>
      <c r="T44" s="66" t="str">
        <f>IF(C44="","",IF((T35="")*AND(T39="")*AND(T23=""),"-2",))</f>
        <v/>
      </c>
      <c r="U44" s="82"/>
      <c r="V44" s="104" t="str">
        <f>IF(C44="","","D"&amp;IF((R44+U44+T44)&gt;=0,"+",)&amp;(R44+U44+T44))</f>
        <v/>
      </c>
    </row>
    <row r="45" spans="1:24">
      <c r="C45" s="138"/>
      <c r="D45" s="139"/>
      <c r="E45" s="139"/>
      <c r="F45" s="139"/>
      <c r="G45" s="139"/>
      <c r="H45" s="139"/>
      <c r="I45" s="150"/>
      <c r="J45" s="150"/>
      <c r="K45" s="151"/>
      <c r="L45" s="151"/>
      <c r="M45" s="151"/>
      <c r="N45" s="151"/>
      <c r="O45" s="151"/>
      <c r="P45" s="151"/>
      <c r="Q45" s="151"/>
      <c r="R45" s="152"/>
      <c r="S45" s="152"/>
      <c r="T45" s="89" t="str">
        <f>IF(C45="","",IF((T37="")*AND(T41="")*AND(T25=""),"-2",))</f>
        <v/>
      </c>
      <c r="U45" s="88"/>
      <c r="V45" s="105" t="str">
        <f>IF(C45="","","D"&amp;IF((R45+U45+T45)&gt;=0,"+",)&amp;(R45+U45+T45))</f>
        <v/>
      </c>
    </row>
    <row r="46" spans="1:24">
      <c r="J46" s="99"/>
      <c r="K46" s="99"/>
      <c r="L46" s="99"/>
      <c r="M46" s="99"/>
      <c r="N46" s="99"/>
      <c r="O46" s="99"/>
    </row>
    <row r="47" spans="1:24" ht="18">
      <c r="A47" s="91"/>
      <c r="B47" s="91"/>
      <c r="C47" s="126" t="s">
        <v>110</v>
      </c>
      <c r="D47" s="127"/>
      <c r="E47" s="127"/>
      <c r="F47" s="127"/>
      <c r="G47" s="127"/>
      <c r="H47" s="128"/>
      <c r="I47" s="91"/>
      <c r="J47" s="129" t="s">
        <v>111</v>
      </c>
      <c r="K47" s="130"/>
      <c r="L47" s="130"/>
      <c r="M47" s="130"/>
      <c r="N47" s="130"/>
      <c r="O47" s="130"/>
      <c r="P47" s="130"/>
      <c r="Q47" s="130"/>
      <c r="R47" s="130"/>
      <c r="S47" s="130"/>
      <c r="T47" s="130"/>
      <c r="U47" s="130"/>
      <c r="V47" s="131"/>
      <c r="W47" s="91"/>
      <c r="X47" s="91"/>
    </row>
    <row r="48" spans="1:24">
      <c r="A48" s="91"/>
      <c r="B48" s="91"/>
      <c r="C48" s="132"/>
      <c r="D48" s="133"/>
      <c r="E48" s="133"/>
      <c r="F48" s="133"/>
      <c r="G48" s="133"/>
      <c r="H48" s="134"/>
      <c r="I48" s="91"/>
      <c r="J48" s="110" t="str">
        <f>VLOOKUP(人物卡!E6,特殊规则!A1:C24,3,FALSE)</f>
        <v>请选择职业！</v>
      </c>
      <c r="K48" s="111"/>
      <c r="L48" s="111"/>
      <c r="M48" s="111"/>
      <c r="N48" s="111"/>
      <c r="O48" s="111"/>
      <c r="P48" s="111"/>
      <c r="Q48" s="111"/>
      <c r="R48" s="111"/>
      <c r="S48" s="111"/>
      <c r="T48" s="111"/>
      <c r="U48" s="111"/>
      <c r="V48" s="112"/>
      <c r="W48" s="91"/>
      <c r="X48" s="91"/>
    </row>
    <row r="49" spans="1:24">
      <c r="A49" s="91"/>
      <c r="B49" s="91"/>
      <c r="C49" s="135"/>
      <c r="D49" s="136"/>
      <c r="E49" s="136"/>
      <c r="F49" s="136"/>
      <c r="G49" s="136"/>
      <c r="H49" s="137"/>
      <c r="I49" s="91"/>
      <c r="J49" s="110"/>
      <c r="K49" s="111"/>
      <c r="L49" s="111"/>
      <c r="M49" s="111"/>
      <c r="N49" s="111"/>
      <c r="O49" s="111"/>
      <c r="P49" s="111"/>
      <c r="Q49" s="111"/>
      <c r="R49" s="111"/>
      <c r="S49" s="111"/>
      <c r="T49" s="111"/>
      <c r="U49" s="111"/>
      <c r="V49" s="112"/>
      <c r="W49" s="91"/>
      <c r="X49" s="91"/>
    </row>
    <row r="50" spans="1:24">
      <c r="A50" s="91"/>
      <c r="B50" s="91"/>
      <c r="C50" s="132"/>
      <c r="D50" s="133"/>
      <c r="E50" s="133"/>
      <c r="F50" s="133"/>
      <c r="G50" s="133"/>
      <c r="H50" s="134"/>
      <c r="I50" s="91"/>
      <c r="J50" s="110"/>
      <c r="K50" s="111"/>
      <c r="L50" s="111"/>
      <c r="M50" s="111"/>
      <c r="N50" s="111"/>
      <c r="O50" s="111"/>
      <c r="P50" s="111"/>
      <c r="Q50" s="111"/>
      <c r="R50" s="111"/>
      <c r="S50" s="111"/>
      <c r="T50" s="111"/>
      <c r="U50" s="111"/>
      <c r="V50" s="112"/>
      <c r="W50" s="91"/>
      <c r="X50" s="91"/>
    </row>
    <row r="51" spans="1:24" ht="15.6" customHeight="1">
      <c r="A51" s="91"/>
      <c r="B51" s="91"/>
      <c r="C51" s="141"/>
      <c r="D51" s="142"/>
      <c r="E51" s="142"/>
      <c r="F51" s="142"/>
      <c r="G51" s="142"/>
      <c r="H51" s="143"/>
      <c r="I51" s="91"/>
      <c r="J51" s="110"/>
      <c r="K51" s="111"/>
      <c r="L51" s="111"/>
      <c r="M51" s="111"/>
      <c r="N51" s="111"/>
      <c r="O51" s="111"/>
      <c r="P51" s="111"/>
      <c r="Q51" s="111"/>
      <c r="R51" s="111"/>
      <c r="S51" s="111"/>
      <c r="T51" s="111"/>
      <c r="U51" s="111"/>
      <c r="V51" s="112"/>
      <c r="W51" s="91"/>
      <c r="X51" s="91"/>
    </row>
    <row r="52" spans="1:24">
      <c r="A52" s="91"/>
      <c r="B52" s="91"/>
      <c r="C52" s="91"/>
      <c r="D52" s="91"/>
      <c r="E52" s="91"/>
      <c r="F52" s="91"/>
      <c r="G52" s="91"/>
      <c r="H52" s="91"/>
      <c r="I52" s="91"/>
      <c r="J52" s="110"/>
      <c r="K52" s="111"/>
      <c r="L52" s="111"/>
      <c r="M52" s="111"/>
      <c r="N52" s="111"/>
      <c r="O52" s="111"/>
      <c r="P52" s="111"/>
      <c r="Q52" s="111"/>
      <c r="R52" s="111"/>
      <c r="S52" s="111"/>
      <c r="T52" s="111"/>
      <c r="U52" s="111"/>
      <c r="V52" s="112"/>
      <c r="W52" s="91"/>
      <c r="X52" s="91"/>
    </row>
    <row r="53" spans="1:24" ht="15.6" customHeight="1">
      <c r="A53" s="91"/>
      <c r="B53" s="91"/>
      <c r="C53" s="144" t="s">
        <v>112</v>
      </c>
      <c r="D53" s="145"/>
      <c r="E53" s="145"/>
      <c r="F53" s="145"/>
      <c r="G53" s="145"/>
      <c r="H53" s="146"/>
      <c r="I53" s="91"/>
      <c r="J53" s="110"/>
      <c r="K53" s="111"/>
      <c r="L53" s="111"/>
      <c r="M53" s="111"/>
      <c r="N53" s="111"/>
      <c r="O53" s="111"/>
      <c r="P53" s="111"/>
      <c r="Q53" s="111"/>
      <c r="R53" s="111"/>
      <c r="S53" s="111"/>
      <c r="T53" s="111"/>
      <c r="U53" s="111"/>
      <c r="V53" s="112"/>
      <c r="W53" s="91"/>
      <c r="X53" s="91"/>
    </row>
    <row r="54" spans="1:24">
      <c r="A54" s="91"/>
      <c r="B54" s="91"/>
      <c r="C54" s="132"/>
      <c r="D54" s="133"/>
      <c r="E54" s="133"/>
      <c r="F54" s="133"/>
      <c r="G54" s="133"/>
      <c r="H54" s="134"/>
      <c r="I54" s="91"/>
      <c r="J54" s="110"/>
      <c r="K54" s="111"/>
      <c r="L54" s="111"/>
      <c r="M54" s="111"/>
      <c r="N54" s="111"/>
      <c r="O54" s="111"/>
      <c r="P54" s="111"/>
      <c r="Q54" s="111"/>
      <c r="R54" s="111"/>
      <c r="S54" s="111"/>
      <c r="T54" s="111"/>
      <c r="U54" s="111"/>
      <c r="V54" s="112"/>
      <c r="W54" s="91"/>
      <c r="X54" s="91"/>
    </row>
    <row r="55" spans="1:24" ht="15.6" customHeight="1">
      <c r="A55" s="91"/>
      <c r="B55" s="91"/>
      <c r="C55" s="135"/>
      <c r="D55" s="136"/>
      <c r="E55" s="136"/>
      <c r="F55" s="136"/>
      <c r="G55" s="136"/>
      <c r="H55" s="137"/>
      <c r="I55" s="91"/>
      <c r="J55" s="110"/>
      <c r="K55" s="111"/>
      <c r="L55" s="111"/>
      <c r="M55" s="111"/>
      <c r="N55" s="111"/>
      <c r="O55" s="111"/>
      <c r="P55" s="111"/>
      <c r="Q55" s="111"/>
      <c r="R55" s="111"/>
      <c r="S55" s="111"/>
      <c r="T55" s="111"/>
      <c r="U55" s="111"/>
      <c r="V55" s="112"/>
      <c r="W55" s="91"/>
      <c r="X55" s="91"/>
    </row>
    <row r="56" spans="1:24">
      <c r="A56" s="91"/>
      <c r="B56" s="91"/>
      <c r="C56" s="132"/>
      <c r="D56" s="133"/>
      <c r="E56" s="133"/>
      <c r="F56" s="133"/>
      <c r="G56" s="133"/>
      <c r="H56" s="134"/>
      <c r="I56" s="91"/>
      <c r="J56" s="110"/>
      <c r="K56" s="111"/>
      <c r="L56" s="111"/>
      <c r="M56" s="111"/>
      <c r="N56" s="111"/>
      <c r="O56" s="111"/>
      <c r="P56" s="111"/>
      <c r="Q56" s="111"/>
      <c r="R56" s="111"/>
      <c r="S56" s="111"/>
      <c r="T56" s="111"/>
      <c r="U56" s="111"/>
      <c r="V56" s="112"/>
      <c r="W56" s="91"/>
      <c r="X56" s="91"/>
    </row>
    <row r="57" spans="1:24">
      <c r="A57" s="91"/>
      <c r="B57" s="91"/>
      <c r="C57" s="141"/>
      <c r="D57" s="142"/>
      <c r="E57" s="142"/>
      <c r="F57" s="142"/>
      <c r="G57" s="142"/>
      <c r="H57" s="143"/>
      <c r="I57" s="91"/>
      <c r="J57" s="113"/>
      <c r="K57" s="114"/>
      <c r="L57" s="114"/>
      <c r="M57" s="114"/>
      <c r="N57" s="114"/>
      <c r="O57" s="114"/>
      <c r="P57" s="114"/>
      <c r="Q57" s="114"/>
      <c r="R57" s="114"/>
      <c r="S57" s="114"/>
      <c r="T57" s="114"/>
      <c r="U57" s="114"/>
      <c r="V57" s="115"/>
      <c r="W57" s="91"/>
      <c r="X57" s="91"/>
    </row>
    <row r="58" spans="1:24">
      <c r="A58" s="91"/>
      <c r="B58" s="91"/>
      <c r="C58" s="91"/>
      <c r="D58" s="91"/>
      <c r="E58" s="91"/>
      <c r="F58" s="91"/>
      <c r="G58" s="91"/>
      <c r="H58" s="91"/>
      <c r="I58" s="91"/>
      <c r="J58" s="91"/>
      <c r="K58" s="91"/>
      <c r="L58" s="91"/>
      <c r="M58" s="91"/>
      <c r="N58" s="91"/>
      <c r="O58" s="91"/>
      <c r="P58" s="91"/>
      <c r="Q58" s="91"/>
      <c r="R58" s="91"/>
      <c r="S58" s="91"/>
      <c r="T58" s="91"/>
      <c r="U58" s="91"/>
      <c r="V58" s="91"/>
      <c r="W58" s="91"/>
      <c r="X58" s="91"/>
    </row>
    <row r="59" spans="1:24" ht="18">
      <c r="A59" s="91"/>
      <c r="B59" s="91"/>
      <c r="C59" s="126" t="s">
        <v>113</v>
      </c>
      <c r="D59" s="127"/>
      <c r="E59" s="127"/>
      <c r="F59" s="127"/>
      <c r="G59" s="127"/>
      <c r="H59" s="128"/>
      <c r="I59" s="91"/>
      <c r="J59" s="129" t="s">
        <v>114</v>
      </c>
      <c r="K59" s="130"/>
      <c r="L59" s="130"/>
      <c r="M59" s="130"/>
      <c r="N59" s="130"/>
      <c r="O59" s="130"/>
      <c r="P59" s="130"/>
      <c r="Q59" s="130"/>
      <c r="R59" s="130"/>
      <c r="S59" s="130"/>
      <c r="T59" s="130"/>
      <c r="U59" s="130"/>
      <c r="V59" s="131"/>
      <c r="W59" s="91"/>
      <c r="X59" s="91"/>
    </row>
    <row r="60" spans="1:24">
      <c r="A60" s="91"/>
      <c r="B60" s="91"/>
      <c r="C60" s="132"/>
      <c r="D60" s="133"/>
      <c r="E60" s="133"/>
      <c r="F60" s="133"/>
      <c r="G60" s="133"/>
      <c r="H60" s="134"/>
      <c r="I60" s="91"/>
      <c r="J60" s="116"/>
      <c r="K60" s="117"/>
      <c r="L60" s="117"/>
      <c r="M60" s="117"/>
      <c r="N60" s="117"/>
      <c r="O60" s="117"/>
      <c r="P60" s="117"/>
      <c r="Q60" s="117"/>
      <c r="R60" s="117"/>
      <c r="S60" s="117"/>
      <c r="T60" s="117"/>
      <c r="U60" s="117"/>
      <c r="V60" s="118"/>
      <c r="W60" s="91"/>
      <c r="X60" s="91"/>
    </row>
    <row r="61" spans="1:24">
      <c r="A61" s="91"/>
      <c r="B61" s="91"/>
      <c r="C61" s="135"/>
      <c r="D61" s="136"/>
      <c r="E61" s="136"/>
      <c r="F61" s="136"/>
      <c r="G61" s="136"/>
      <c r="H61" s="137"/>
      <c r="I61" s="91"/>
      <c r="J61" s="116"/>
      <c r="K61" s="117"/>
      <c r="L61" s="117"/>
      <c r="M61" s="117"/>
      <c r="N61" s="117"/>
      <c r="O61" s="117"/>
      <c r="P61" s="117"/>
      <c r="Q61" s="117"/>
      <c r="R61" s="117"/>
      <c r="S61" s="117"/>
      <c r="T61" s="117"/>
      <c r="U61" s="117"/>
      <c r="V61" s="118"/>
      <c r="W61" s="91"/>
      <c r="X61" s="91"/>
    </row>
    <row r="62" spans="1:24">
      <c r="A62" s="91"/>
      <c r="B62" s="91"/>
      <c r="C62" s="132"/>
      <c r="D62" s="133"/>
      <c r="E62" s="133"/>
      <c r="F62" s="133"/>
      <c r="G62" s="133"/>
      <c r="H62" s="134"/>
      <c r="I62" s="91"/>
      <c r="J62" s="116"/>
      <c r="K62" s="117"/>
      <c r="L62" s="117"/>
      <c r="M62" s="117"/>
      <c r="N62" s="117"/>
      <c r="O62" s="117"/>
      <c r="P62" s="117"/>
      <c r="Q62" s="117"/>
      <c r="R62" s="117"/>
      <c r="S62" s="117"/>
      <c r="T62" s="117"/>
      <c r="U62" s="117"/>
      <c r="V62" s="118"/>
      <c r="W62" s="91"/>
      <c r="X62" s="91"/>
    </row>
    <row r="63" spans="1:24">
      <c r="A63" s="91"/>
      <c r="B63" s="91"/>
      <c r="C63" s="135"/>
      <c r="D63" s="136"/>
      <c r="E63" s="136"/>
      <c r="F63" s="136"/>
      <c r="G63" s="136"/>
      <c r="H63" s="137"/>
      <c r="I63" s="91"/>
      <c r="J63" s="116"/>
      <c r="K63" s="117"/>
      <c r="L63" s="117"/>
      <c r="M63" s="117"/>
      <c r="N63" s="117"/>
      <c r="O63" s="117"/>
      <c r="P63" s="117"/>
      <c r="Q63" s="117"/>
      <c r="R63" s="117"/>
      <c r="S63" s="117"/>
      <c r="T63" s="117"/>
      <c r="U63" s="117"/>
      <c r="V63" s="118"/>
      <c r="W63" s="91"/>
      <c r="X63" s="91"/>
    </row>
    <row r="64" spans="1:24">
      <c r="A64" s="91"/>
      <c r="B64" s="91"/>
      <c r="C64" s="132"/>
      <c r="D64" s="133"/>
      <c r="E64" s="133"/>
      <c r="F64" s="133"/>
      <c r="G64" s="133"/>
      <c r="H64" s="134"/>
      <c r="I64" s="91"/>
      <c r="J64" s="116"/>
      <c r="K64" s="117"/>
      <c r="L64" s="117"/>
      <c r="M64" s="117"/>
      <c r="N64" s="117"/>
      <c r="O64" s="117"/>
      <c r="P64" s="117"/>
      <c r="Q64" s="117"/>
      <c r="R64" s="117"/>
      <c r="S64" s="117"/>
      <c r="T64" s="117"/>
      <c r="U64" s="117"/>
      <c r="V64" s="118"/>
      <c r="W64" s="91"/>
      <c r="X64" s="91"/>
    </row>
    <row r="65" spans="1:24">
      <c r="A65" s="91"/>
      <c r="B65" s="91"/>
      <c r="C65" s="135"/>
      <c r="D65" s="136"/>
      <c r="E65" s="136"/>
      <c r="F65" s="136"/>
      <c r="G65" s="136"/>
      <c r="H65" s="137"/>
      <c r="I65" s="91"/>
      <c r="J65" s="116"/>
      <c r="K65" s="117"/>
      <c r="L65" s="117"/>
      <c r="M65" s="117"/>
      <c r="N65" s="117"/>
      <c r="O65" s="117"/>
      <c r="P65" s="117"/>
      <c r="Q65" s="117"/>
      <c r="R65" s="117"/>
      <c r="S65" s="117"/>
      <c r="T65" s="117"/>
      <c r="U65" s="117"/>
      <c r="V65" s="118"/>
      <c r="W65" s="91"/>
      <c r="X65" s="91"/>
    </row>
    <row r="66" spans="1:24">
      <c r="A66" s="91"/>
      <c r="B66" s="91"/>
      <c r="C66" s="138"/>
      <c r="D66" s="139"/>
      <c r="E66" s="139"/>
      <c r="F66" s="139"/>
      <c r="G66" s="139"/>
      <c r="H66" s="140"/>
      <c r="I66" s="91"/>
      <c r="J66" s="119"/>
      <c r="K66" s="120"/>
      <c r="L66" s="120"/>
      <c r="M66" s="120"/>
      <c r="N66" s="120"/>
      <c r="O66" s="120"/>
      <c r="P66" s="120"/>
      <c r="Q66" s="120"/>
      <c r="R66" s="120"/>
      <c r="S66" s="120"/>
      <c r="T66" s="120"/>
      <c r="U66" s="120"/>
      <c r="V66" s="121"/>
      <c r="W66" s="91"/>
      <c r="X66" s="91"/>
    </row>
    <row r="67" spans="1:24">
      <c r="A67" s="91"/>
      <c r="B67" s="91"/>
      <c r="C67" s="91" t="s">
        <v>115</v>
      </c>
      <c r="D67" s="106">
        <v>43313</v>
      </c>
      <c r="E67" s="91"/>
      <c r="F67" s="91"/>
      <c r="G67" s="91"/>
      <c r="H67" s="91"/>
      <c r="I67" s="91"/>
      <c r="J67" s="91"/>
      <c r="K67" s="91"/>
      <c r="L67" s="91"/>
      <c r="M67" s="91"/>
      <c r="N67" s="91"/>
      <c r="O67" s="91"/>
      <c r="P67" s="91"/>
      <c r="Q67" s="91"/>
      <c r="R67" s="91"/>
      <c r="S67" s="91"/>
      <c r="T67" s="91"/>
      <c r="U67" s="91"/>
      <c r="V67" s="91"/>
      <c r="W67" s="91"/>
      <c r="X67" s="91"/>
    </row>
    <row r="68" spans="1:24">
      <c r="A68" s="91"/>
      <c r="B68" s="91"/>
      <c r="C68" s="91"/>
      <c r="D68" s="91"/>
      <c r="E68" s="91"/>
      <c r="F68" s="91"/>
      <c r="G68" s="91"/>
      <c r="H68" s="91"/>
      <c r="I68" s="91"/>
      <c r="J68" s="91"/>
      <c r="K68" s="91"/>
      <c r="L68" s="91"/>
      <c r="M68" s="91"/>
      <c r="N68" s="91"/>
      <c r="O68" s="91"/>
      <c r="P68" s="91"/>
      <c r="Q68" s="91"/>
      <c r="R68" s="91"/>
      <c r="S68" s="91"/>
      <c r="T68" s="91"/>
      <c r="U68" s="91"/>
      <c r="V68" s="91"/>
      <c r="W68" s="91"/>
      <c r="X68" s="91"/>
    </row>
    <row r="69" spans="1:24">
      <c r="A69" s="91"/>
      <c r="B69" s="91"/>
      <c r="C69" s="91"/>
      <c r="D69" s="91"/>
      <c r="E69" s="91"/>
      <c r="F69" s="91"/>
      <c r="G69" s="91"/>
      <c r="H69" s="91"/>
      <c r="I69" s="91"/>
      <c r="J69" s="91"/>
      <c r="K69" s="91"/>
      <c r="L69" s="91"/>
      <c r="M69" s="91"/>
      <c r="N69" s="91"/>
      <c r="O69" s="91"/>
      <c r="P69" s="91"/>
      <c r="Q69" s="91"/>
      <c r="R69" s="91"/>
      <c r="S69" s="91"/>
      <c r="T69" s="91"/>
      <c r="U69" s="91"/>
      <c r="V69" s="91"/>
      <c r="W69" s="91"/>
      <c r="X69" s="91"/>
    </row>
    <row r="70" spans="1:24">
      <c r="A70" s="91"/>
      <c r="B70" s="91"/>
      <c r="C70" s="91"/>
      <c r="D70" s="91"/>
      <c r="E70" s="91"/>
      <c r="F70" s="91"/>
      <c r="G70" s="91"/>
      <c r="H70" s="91"/>
      <c r="I70" s="91"/>
      <c r="J70" s="91"/>
      <c r="K70" s="91"/>
      <c r="L70" s="91"/>
      <c r="M70" s="91"/>
      <c r="N70" s="91"/>
      <c r="O70" s="91"/>
      <c r="P70" s="91"/>
      <c r="Q70" s="91"/>
      <c r="R70" s="91"/>
      <c r="S70" s="91"/>
      <c r="T70" s="91"/>
      <c r="U70" s="91"/>
      <c r="V70" s="91"/>
      <c r="W70" s="91"/>
      <c r="X70" s="91"/>
    </row>
  </sheetData>
  <sheetProtection sheet="1" scenarios="1" formatColumns="0" formatRows="0" insertColumns="0" insertRows="0" selectLockedCells="1"/>
  <mergeCells count="157">
    <mergeCell ref="C6:D6"/>
    <mergeCell ref="F6:H6"/>
    <mergeCell ref="J6:Q6"/>
    <mergeCell ref="E7:H7"/>
    <mergeCell ref="J7:K7"/>
    <mergeCell ref="L7:M7"/>
    <mergeCell ref="O7:Q7"/>
    <mergeCell ref="E1:K1"/>
    <mergeCell ref="C2:Q2"/>
    <mergeCell ref="C3:D3"/>
    <mergeCell ref="E3:F3"/>
    <mergeCell ref="J3:K3"/>
    <mergeCell ref="L3:M3"/>
    <mergeCell ref="O3:P3"/>
    <mergeCell ref="C4:D4"/>
    <mergeCell ref="E4:F4"/>
    <mergeCell ref="J4:K4"/>
    <mergeCell ref="L4:M4"/>
    <mergeCell ref="O4:P4"/>
    <mergeCell ref="E8:H8"/>
    <mergeCell ref="E9:H9"/>
    <mergeCell ref="C10:H10"/>
    <mergeCell ref="C11:D11"/>
    <mergeCell ref="E11:F11"/>
    <mergeCell ref="C12:D12"/>
    <mergeCell ref="E12:F12"/>
    <mergeCell ref="C13:V13"/>
    <mergeCell ref="C14:H14"/>
    <mergeCell ref="J14:O14"/>
    <mergeCell ref="Q14:V14"/>
    <mergeCell ref="I3:I12"/>
    <mergeCell ref="S11:S12"/>
    <mergeCell ref="T11:T12"/>
    <mergeCell ref="U11:U12"/>
    <mergeCell ref="V11:V12"/>
    <mergeCell ref="C7:D9"/>
    <mergeCell ref="S2:V8"/>
    <mergeCell ref="J8:K12"/>
    <mergeCell ref="C5:D5"/>
    <mergeCell ref="E5:H5"/>
    <mergeCell ref="J5:K5"/>
    <mergeCell ref="L5:M5"/>
    <mergeCell ref="O5:P5"/>
    <mergeCell ref="C15:D15"/>
    <mergeCell ref="J15:K15"/>
    <mergeCell ref="Q15:R15"/>
    <mergeCell ref="C16:D16"/>
    <mergeCell ref="J16:K16"/>
    <mergeCell ref="Q16:R16"/>
    <mergeCell ref="C17:D17"/>
    <mergeCell ref="J17:K17"/>
    <mergeCell ref="Q17:R17"/>
    <mergeCell ref="C18:D18"/>
    <mergeCell ref="J18:K18"/>
    <mergeCell ref="Q18:R18"/>
    <mergeCell ref="C19:D19"/>
    <mergeCell ref="J19:K19"/>
    <mergeCell ref="Q19:R19"/>
    <mergeCell ref="C20:D20"/>
    <mergeCell ref="J20:K20"/>
    <mergeCell ref="Q20:R20"/>
    <mergeCell ref="C21:D21"/>
    <mergeCell ref="J21:K21"/>
    <mergeCell ref="Q21:R21"/>
    <mergeCell ref="C22:D22"/>
    <mergeCell ref="J22:K22"/>
    <mergeCell ref="Q22:R22"/>
    <mergeCell ref="C23:D23"/>
    <mergeCell ref="J23:K23"/>
    <mergeCell ref="Q23:R23"/>
    <mergeCell ref="C24:D24"/>
    <mergeCell ref="J24:K24"/>
    <mergeCell ref="Q24:R24"/>
    <mergeCell ref="C25:D25"/>
    <mergeCell ref="J25:K25"/>
    <mergeCell ref="Q25:R25"/>
    <mergeCell ref="C26:D26"/>
    <mergeCell ref="J26:K26"/>
    <mergeCell ref="Q26:R26"/>
    <mergeCell ref="C27:D27"/>
    <mergeCell ref="J27:O27"/>
    <mergeCell ref="Q27:R27"/>
    <mergeCell ref="C28:D28"/>
    <mergeCell ref="J28:O28"/>
    <mergeCell ref="Q28:R28"/>
    <mergeCell ref="C29:D29"/>
    <mergeCell ref="J29:K29"/>
    <mergeCell ref="Q29:R29"/>
    <mergeCell ref="C30:D30"/>
    <mergeCell ref="J30:K30"/>
    <mergeCell ref="Q30:R30"/>
    <mergeCell ref="C31:D31"/>
    <mergeCell ref="J31:K31"/>
    <mergeCell ref="Q31:R31"/>
    <mergeCell ref="C32:D32"/>
    <mergeCell ref="J32:K32"/>
    <mergeCell ref="Q32:R32"/>
    <mergeCell ref="J33:K33"/>
    <mergeCell ref="Q33:R33"/>
    <mergeCell ref="C34:H34"/>
    <mergeCell ref="J34:K34"/>
    <mergeCell ref="Q34:R34"/>
    <mergeCell ref="C35:H35"/>
    <mergeCell ref="J35:K35"/>
    <mergeCell ref="Q35:R35"/>
    <mergeCell ref="C36:H36"/>
    <mergeCell ref="J36:K36"/>
    <mergeCell ref="Q36:R36"/>
    <mergeCell ref="C37:H37"/>
    <mergeCell ref="J37:K37"/>
    <mergeCell ref="Q37:R37"/>
    <mergeCell ref="C38:H38"/>
    <mergeCell ref="J38:K38"/>
    <mergeCell ref="Q38:R38"/>
    <mergeCell ref="C39:H39"/>
    <mergeCell ref="J39:K39"/>
    <mergeCell ref="Q39:R39"/>
    <mergeCell ref="R44:S44"/>
    <mergeCell ref="C45:H45"/>
    <mergeCell ref="I45:J45"/>
    <mergeCell ref="K45:Q45"/>
    <mergeCell ref="R45:S45"/>
    <mergeCell ref="C47:H47"/>
    <mergeCell ref="J47:V47"/>
    <mergeCell ref="C41:V41"/>
    <mergeCell ref="C42:H42"/>
    <mergeCell ref="I42:J42"/>
    <mergeCell ref="K42:Q42"/>
    <mergeCell ref="R42:S42"/>
    <mergeCell ref="C43:H43"/>
    <mergeCell ref="I43:J43"/>
    <mergeCell ref="K43:Q43"/>
    <mergeCell ref="R43:S43"/>
    <mergeCell ref="J48:V57"/>
    <mergeCell ref="J60:V66"/>
    <mergeCell ref="L8:Q12"/>
    <mergeCell ref="C59:H59"/>
    <mergeCell ref="J59:V59"/>
    <mergeCell ref="C60:H60"/>
    <mergeCell ref="C61:H61"/>
    <mergeCell ref="C62:H62"/>
    <mergeCell ref="C63:H63"/>
    <mergeCell ref="C64:H64"/>
    <mergeCell ref="C65:H65"/>
    <mergeCell ref="C66:H66"/>
    <mergeCell ref="C48:H48"/>
    <mergeCell ref="C49:H49"/>
    <mergeCell ref="C50:H50"/>
    <mergeCell ref="C51:H51"/>
    <mergeCell ref="C53:H53"/>
    <mergeCell ref="C54:H54"/>
    <mergeCell ref="C55:H55"/>
    <mergeCell ref="C56:H56"/>
    <mergeCell ref="C57:H57"/>
    <mergeCell ref="C44:H44"/>
    <mergeCell ref="I44:J44"/>
    <mergeCell ref="K44:Q44"/>
  </mergeCells>
  <phoneticPr fontId="21" type="noConversion"/>
  <dataValidations count="77">
    <dataValidation type="list" allowBlank="1" showInputMessage="1" showErrorMessage="1" sqref="L3">
      <formula1>"暂无,妄想症,杀人狂,自大狂,多重人格障碍,强迫症,偏执狂,恐惧症,选择性失忆"</formula1>
    </dataValidation>
    <dataValidation allowBlank="1" showInputMessage="1" showErrorMessage="1" promptTitle="提示" prompt="如果你的坚毅为0到-5，则你处于“动摇”状态。_x000a_如果你的坚毅为-6到-11，则你处于“崩溃”状态。_x000a_当你的坚毅达到-12或更低时，你便无可挽救地陷入疯狂之中。" sqref="J4"/>
    <dataValidation type="list" allowBlank="1" showInputMessage="1" showErrorMessage="1" sqref="L4">
      <formula1>"正常,动摇,崩溃,疯狂"</formula1>
    </dataValidation>
    <dataValidation type="list" allowBlank="1" showInputMessage="1" showErrorMessage="1" sqref="E5:H5">
      <formula1>"○冒险,▽好古,自大,▽艺术的敏感,坏运气,好奇,○责任,无聊,追随者,▽血脉相承,○复仇,学术研究,○突然的惊愕,认知的渴求"</formula1>
    </dataValidation>
    <dataValidation allowBlank="1" showInputMessage="1" showErrorMessage="1" promptTitle="提示" prompt="如果你的健康点数为0到-5，你处于“受伤”状态。_x000a_如果你的健康点数为-6到-11，你处于“重伤”状态，必须进行意识检定。_x000a_如果你的健康点数降至-12或更低，那么你就死了。" sqref="J5"/>
    <dataValidation type="list" allowBlank="1" showInputMessage="1" showErrorMessage="1" sqref="L5">
      <formula1>"健康,受伤,重伤,死亡"</formula1>
    </dataValidation>
    <dataValidation allowBlank="1" showInputMessage="1" showErrorMessage="1" promptTitle="提示" prompt="每拥有3个心智等级，你必须确立一个心智支柱，即调查员绝对认同、相信的人文信仰或关怀。心智支柱是一种抽象的原则，而不是具体的某人或某物。克苏鲁神话所揭示的真相会损害或摧毁心智支柱（手册34页）。正如你料想的，克苏鲁神话的启悟在破坏这些心智支柱的同时，还会让你付出额外的心智。" sqref="C7"/>
    <dataValidation allowBlank="1" showInputMessage="1" showErrorMessage="1" promptTitle="会计（学术）" prompt="你了解记账和会计流程，能读懂和记录财务帐目。你能够：_x000a_1.分辨出合法商业行为与非法生意_x000a_2.根据旧记录再现财务往来的历史（例如，发现贩奴或走私行为）_x000a_3.发现挪用款项、贿赂、敲诈或空壳公司的可疑迹象_x000a_4.追查付款的源头" sqref="C16:D16"/>
    <dataValidation allowBlank="1" showInputMessage="1" showErrorMessage="1" promptTitle="察言观色（社交）" prompt="这是人类察觉、评估他人性格和动机的能力。该能力可让你判断某人是否对你说谎，在花费1个能力池点数后，还能推测他们的动机。_x000a_不是所有谎言都会形诸言语。如果某人试图通过肢体语言传递错误的印象，你同样可以察觉。_x000a_你也能用察言观色冷读细节来进行算命、通灵或者读心术等。" sqref="J16:K16"/>
    <dataValidation allowBlank="1" showInputMessage="1" showErrorMessage="1" promptTitle="运动" prompt="运动能力允许你完成普通的运动行为：奔跑、跳跃、投掷成捆的爆炸物、对坠落物或高速冲撞物的闪避等等。所有不被其他能力涵盖的运动类行动都归入运动能力。_x000a__x000a_如果运动等级大于或等于8， 那么你的命中阈值（也就是战斗中对手试图攻击你时的检定目标值） 为4，否则为3。" sqref="Q16:R16"/>
    <dataValidation allowBlank="1" showInputMessage="1" showErrorMessage="1" promptTitle="人类学（学术）" prompt="你是研究人类文化的专家，从 石器时代到爵士时代（1920年代的 美国）都是你的研究范围（体质人 类学是法医的专业）。你能够：_x000a_1.鉴别现存文明的器物和仪式_x000a_2.描述和预测外国族群或者本地亚文化的习俗_x000a_3.根据现有的相似实例来推断未知文化中的实践行为" sqref="C17:D17"/>
    <dataValidation allowBlank="1" showInputMessage="1" showErrorMessage="1" promptTitle="议价（社交）" prompt="你擅长与人交易，说服别人相信对你最有利的计划也是他们的最佳选择。你能够：_x000a_1.为商品和服务议价_x000a_2.为物品大致估价，包括估算买家的心理价位_x000a_3.在绑架事件或外交危机中进行斡旋_x000a_4.互惠互利或与他人交换信息" sqref="J17:K17"/>
    <dataValidation allowBlank="1" showInputMessage="1" showErrorMessage="1" promptTitle="藏匿" prompt="你可以将东西藏起来使之不被发现。你的方法包括对物品进行伪装、将物品藏在自己身上、偷偷把东西放入不起眼的抽屉、制造暗格、甚至用涂料或灰泥改变某物的外观特征等。_x000a__x000a_此能力还能使你发现被刻意隐藏的东西。" sqref="Q17:R17"/>
    <dataValidation allowBlank="1" showInputMessage="1" showErrorMessage="1" promptTitle="考古学（学术）" prompt="你发掘和研究古代文明的建筑 和器物。你能够：_x000a_1. 判断某件物品的制作时间及其 何时被掩埋_x000a_2. 通过文化特征和用途来鉴别器物_x000a_3. 鉴定器物的真伪_x000a_4. 在废墟和墓穴内辨明路径和方_x000a_向，包括找到暗门和隐藏的房间_x000a_5. 描述古代和有历史记载的文明的习俗_x000a_6. 发现精心掩藏的墓穴和地下的宫室建筑" sqref="C18:D18"/>
    <dataValidation allowBlank="1" showInputMessage="1" showErrorMessage="1" promptTitle="官僚（社交）" prompt="你知道如何周旋于官僚化的组织机构中，无论它是政府机构或者大型商业公司。你知道如何轻松、快捷地获得想要的东西。你能够：_x000a_1.说服负责人员提供敏感信息_x000a_2.为虚假的借口取得证明文件_x000a_3.找到了解内幕的人_x000a_4.在一个你经常与之来往的组织机构中发展并维持线人_x000a_5.找到相关的机构部门和档案材料_x000a_6.借用设备或资源" sqref="J18:K18"/>
    <dataValidation allowBlank="1" showInputMessage="1" showErrorMessage="1" promptTitle="伪装" prompt="一项能将你自己的外貌、姿势、声音变得难以被认出的能力.用那些比宽边软帽或假胡子更复杂的道具进行伪装的效果只能维持很短的时间,因为要想成功伪装,姿势和肢体语言至关重要_x000a_顺利将自己伪装成游戏中存在的人物并与熟知他的人打交道是十分困难的.只做短暂的声音模仿需要难度为4的检定；而面对面的伪装扮演,则需要在你与目标持续接触期间,每隔五分钟就进行一次难度为7的检定_x000a_在通过以下方式收集线索时, 伪装可视作等级和能力池加倍的调查能力_x000a_1.在未起疑心的人面前假冒身份_x000a_2.宽泛地扮演某一类型的角色_x000a_3.短暂地掩饰自己不被认出" sqref="Q18:R18"/>
    <dataValidation allowBlank="1" showInputMessage="1" showErrorMessage="1" promptTitle="建筑学（学术）_x000d__x000a_" prompt="你知道如何设计和建造建筑。 你能够：_x000a_1.猜测陌生建筑的内部结构_x000a_2.判断建筑材料的相对强度_x000a_3.鉴别建筑的建造时间、风格、原始用途和改建历史_x000a_4.推测是否存在异常的空间结构，如隐蔽的房间、供人藏身用的暗洞、无法用现有几何学描述的女巫阁楼等等_x000a_5.搭建稳固的临时结构_x000a_6.识别出对于建筑结构的整体稳 定至关重要的部位" sqref="C19:D19"/>
    <dataValidation allowBlank="1" showInputMessage="1" showErrorMessage="1" promptTitle="警方交谈（社交）" prompt="你知道如何与警察用行话进行交谈，如何让他们在你面前感到信任和放松。你可能是一名现役警察或身为过警察，或是一位警察一见就觉得可靠、可信的市民。你能够：_x000a_1.不动声色地套取机密信息_x000a_2.为轻微的违法行为获得开脱_x000a_3.暗示你是他们的同事，被指派参与他们的案件_x000a_4.分辨警察是否向你说谎，或者对你有所隐瞒_x000a_5.向执法部门的联系人求助" sqref="J19:K19"/>
    <dataValidation allowBlank="1" showInputMessage="1" showErrorMessage="1" promptTitle="驾驶" prompt="任何学过开车的人都能开着轿车上路，而无需拥有该项能力。但你是一个老练稳健的司机，能让哪怕最顽固的轿车、敞篷小货车或公共汽车充分发挥性能。你能够：_x000a_1.逃脱追击或进行追击_x000a_2.避免碰撞，或使碰撞伤害最小化_x000a_3.现场改装交通工具_x000a_4.导航、看地图、保持方向感_x000a_5.实施应急修理_x000a__x000a_每增加2点驾驶能力等级，你可以额外添加一种交通工具作为你会驾驶的车辆类别" sqref="Q19:R19"/>
    <dataValidation allowBlank="1" showInputMessage="1" showErrorMessage="1" promptTitle="艺术史（学术）_x000d__x000a_" prompt="你是研究艺术作品的专家（包括家具和陶艺这种实用艺术），擅长从审美和技术的角度看待作品。你能够：_x000a_1.分辨艺术作品的真伪_x000a_2.确定作品是否被修补或改动过_x000a_3.根据风格和材料确定作品年代_x000a_4.为艺术品准确估价_x000a_5.回忆起有关艺术家及其社交圈的历史细节" sqref="C20:D20"/>
    <dataValidation allowBlank="1" showInputMessage="1" showErrorMessage="1" promptTitle="信誉等级（社交）" prompt="你在你所属的经济阶层里活动自如：做生意、拉关系、让人邀请或找人引荐、打探消息、动用你在专业领域或社会关系中的联系人、找人借贷等等。_x000a__x000a_信誉等级未必代表你银行存款的多少，它代表的是你在特定社会经济阶层中的活动能力。你可以通过婚姻、继承、家庭关系甚至友谊获得信誉等级。你甚至不用做什么，只要能保持体面，就能维持这一信誉等级。" sqref="J20:K20"/>
    <dataValidation allowBlank="1" showInputMessage="1" showErrorMessage="1" promptTitle="电器维修" prompt="你擅长建造、维修、操作电器设备，或者使之失灵，范围包括从简单的警报系统到最先进的无线电（还可以通过电打火短路来启动大部分二十世纪二十年代之后出厂的汽车）。如果有合适的零件，你甚至可以用稀奇古怪的废料做出临时性的应急装备。_x000a__x000a_在通过以下方式收集线索时， 电器维修可视作等级和能力池加倍的调查能力：_x000a_1.评估物品的制作工艺、水平_x000a_2.判断某件电器小零件的功能_x000a_3.搭接电话线路或电报线路_x000a_4.将高质量的录音录制在唱片或留声机的录音圆筒/录音钢丝上_x000a_5.解读摩尔斯电码_x000a_6.使用保养良好的电气设备进行调查（收集线索）" sqref="Q20:R20"/>
    <dataValidation allowBlank="1" showInputMessage="1" showErrorMessage="1" promptTitle="生物学（学术）" prompt="你研究有机体的演化、行为和生理构造。你能够：_x000a_1.判断动物的行为是否异常_x000a_2.断定动植物是否为某地原生_x000a_3.根据毛发、血液、骨骼或其他组织样本鉴别动物种类_x000a_4.分析未知的脓液、鳞片或粘液_x000a_5.根据一小块样本鉴别植物种类_x000a_6.分离、检测天然毒素或毒液" sqref="C21:D21"/>
    <dataValidation allowBlank="1" showInputMessage="1" showErrorMessage="1" promptTitle="奉承（社交）" prompt="你擅长按照对方喜欢的方式， 或露骨或巧妙地恭维、迎合他们， 从而得到帮助。对那些被你的魅力攫住的人而言，这招尤其有效；但个人富有魅力并非使用奉承的必须条件。你可以只称赞目标的品位高雅或论文优秀。你能够使他们：_x000a_1.透露消息_x000a_2.帮点小忙_x000a_3.认为你可以信任_x000a_4.与你约会（如果可行）_x000a__x000a_你可以自行决定较高的奉承等级的含义：是迷人可爱的外表、富有魅力、擅长溜须拍马，还是无关举止长相，单纯以性格吸引人。" sqref="J21:K21"/>
    <dataValidation allowBlank="1" showInputMessage="1" showErrorMessage="1" promptTitle="爆破" prompt="你是炸弹与陷阱方面的专家。你能够：_x000a_1.拆除炸弹与陷阱_x000a_2.相对安全地处理硝化甘油或者其他危险的不稳定材料_x000a_3.在时间充足的情况下，炸开保险箱或保险库而不损坏里面的东西_x000a_4.用普通化学药品调配爆炸性的化合物_x000a_5.安全地设置与启动自己制作的炸弹或陷阱_x000a_在通过以下方式收集线索时， 爆破可视作等级和能力池加倍的调查能力：_x000a_1.重构和再现已经爆炸的炸弹的外观_x000a_2.判断已经爆炸或尚未爆炸的炸弹的制造方法和材料，由此推断出制造者的熟练程度、背景与技巧水平" sqref="Q21:R21"/>
    <dataValidation allowBlank="1" showInputMessage="1" showErrorMessage="1" promptTitle="克苏鲁神话（学术）" prompt="你已经开始领会真实世界的隐秘法则，而不再相信物理学与宗教的无知表象。你承认这些伟大的名字以及名字所隐含的真相。如果你读过神话典籍，那么你可以使用克苏鲁神话记起与当前情况相关的文本内容。在你凝视一件古老的非人类浮雕时，该能力可以使你感受到浮雕上展现的恐怖历史，并伴随着一次全身心的惊怖冲击_x000a__x000a_使用该能力会同时消耗心智与坚毅。_x000a__x000a_该能力在调查中的主要作用是“将零散的线索拼合到一起”， 利用你潜意识里被压抑的可怕认知来开启令人恐惧的顿悟之门。" sqref="C22:D22"/>
    <dataValidation type="whole" errorStyle="warning" allowBlank="1" showInputMessage="1" showErrorMessage="1" errorTitle="警告" error="超出上限" sqref="F22">
      <formula1>0</formula1>
      <formula2>10</formula2>
    </dataValidation>
    <dataValidation allowBlank="1" showInputMessage="1" showErrorMessage="1" promptTitle="审讯（社交）" prompt="你受过相关培训，可以用正规的警方审讯方式从嫌疑人与证人那里获取信息。该行为必须发生在正式的环境下，对方的人身受到限制或面临这一威胁，并且对方承认你的权威（无论这一权威是真实存在的还是你伪装的）。" sqref="J22:K22"/>
    <dataValidation allowBlank="1" showInputMessage="1" showErrorMessage="1" promptTitle="偷窃" prompt="灵活的手指使你能够偷偷操控小物件。你能够：_x000a_1.在未起疑心的有关当局眼皮底下，从犯罪现场窃取线索（或在犯罪现场放置线索）_x000a_2.扒窃物品_x000a_3.在未起疑心的目标身上偷偷放置物品" sqref="Q22:R22"/>
    <dataValidation allowBlank="1" showInputMessage="1" showErrorMessage="1" promptTitle="密码学（学术）" prompt="你能编写、破译密码与暗号， 只要你懂得编写所用的语言。如果时间充足，并有一本字典，你可以破译出陌生语言的字母表，并生吞活剥地将文本翻译出来。" sqref="C23:D23"/>
    <dataValidation allowBlank="1" showInputMessage="1" showErrorMessage="1" promptTitle="威胁（社交）" prompt="你通过具有威慑力的外表、侵犯其私人空间或采用居高临下的心理震慑来诱导嫌疑人与你合作。威胁可包括含蓄或直接的暴力恐吓，但这常常只是一种心理战的手段。你能够：_x000a_1.获得情报_x000a_2.促使对方离开_x000a_3.遏制住对方对你或他人施暴的欲望" sqref="J23:K23"/>
    <dataValidation allowBlank="1" showInputMessage="1" showErrorMessage="1" promptTitle="枪械" prompt="你擅长使用、修理与鉴别枪械。此能力同时涵盖弩及类似的扳机扣发式远程武器" sqref="Q23:R23"/>
    <dataValidation allowBlank="1" showInputMessage="1" showErrorMessage="1" promptTitle="地质学（学术）" prompt="你是岩石、土壤、矿物及地球远古史方面的专家。你能够：_x000a_1.分析土壤样本、晶体、矿物等_x000a_2.确定岩层的地质年代_x000a_3.鉴别化石并确定其年代_x000a_4.对土壤的工农业价值做出评定_x000a_5.找出蕴藏石油、水井、矿藏的地点_x000a_6.预测火山活动、地震、雪崩和其他地质现象" sqref="C24:D24"/>
    <dataValidation allowBlank="1" showInputMessage="1" showErrorMessage="1" promptTitle="口述采访（社交）" prompt="你能找到愿意交谈和提供线索的人，赢得其信任，收集到关于历史事件、地方传统、民间传说、家族传承或小道消息的口头叙述（通常较为冗长）。在文盲或半文盲社区、乡下或小城镇社区中，这往往是一种绝佳的调查方式。该能力还包括在不惊扰消息提供者的前提下进行速记或录音的能力。" sqref="J24:K24"/>
    <dataValidation allowBlank="1" showInputMessage="1" showErrorMessage="1" promptTitle="急救" prompt="你可以对生病或受伤的角色实施急救。" sqref="Q24:R24"/>
    <dataValidation allowBlank="1" showInputMessage="1" showErrorMessage="1" promptTitle="历史（学术）" prompt="你是研究有文字记载的人类历史的专家，政治、军事、经济以及科技发展是你的重点研究方向。你对文献、书籍这类历史学家的研究工具尤为精熟。你能够：_x000a_1.认出晦涩的文献征引和历史典故_x000a_2.回想起特定国家、城市、地区的重要或相关事件_x000a_3.识别古代语言及文本_x000a_4.对手稿或书籍进行文本分析， 确定其年代或作者_x000a_5.确定文献的年代_x000a_6.判断一件物品产生的地点以及历史年代_x000a_7.确认一件服装的年代" sqref="C25:D25"/>
    <dataValidation allowBlank="1" showInputMessage="1" showErrorMessage="1" promptTitle="安抚（社交）" prompt="你使人们放松，从而达到你的目的。你可以使用伶俐的口才、进行诚恳的慰问，或者只是静静地陪伴。你能够：_x000a_1.使他人吐露信息以及帮点小忙_x000a_2.减轻他人的惧怕或恐慌_x000a_3.在危机关头使人保持冷静_x000a_" sqref="J25:K25"/>
    <dataValidation allowBlank="1" showInputMessage="1" showErrorMessage="1" promptTitle="逃脱" prompt="逃脱是一项绝佳的自保技能， 即便在通俗模式中，角色也会经常用到。就像洛夫克拉夫特笔下许多敏感纤弱的主人公那样，不太擅长其他耗费体力的任务，并不妨碍你在必要时逃之夭夭。因此逃脱成了一项单独的能力。在遭到追逐、试图逃跑时，你可以用逃脱来代替运动。但它在你进行追踪时不起作用。_x000a__x000a_在你的逃脱等级大于最终运动等级的2倍时，你可以用半价购买超过2倍运动等级的那部分逃脱等级， 即每花费1点创建点数就能得到2个能力等级。" sqref="Q25:R25"/>
    <dataValidation allowBlank="1" showInputMessage="1" showErrorMessage="1" promptTitle="语言（学术）" prompt="每拥有1个语言等级，你便能够流利地听说和读写一门母语之外的语言。你可以选择读写一门已经不再口头使用的古代语言，但守秘人可能会禁止你懂得秘术用语、远古语言或非人类的语言，如阿克罗语（蛇人的语言）、纳卡尔语（穆大陆的语言）、A类纳克特语（伊斯人的语言）等。守秘人可以允许相关语言之间有所重叠——例如，挪威语流利的调查员即使不增加额外的语言等级，也可以合理地宣称自己的瑞典语一样很流利（或者至少过得去）。_x000a_你可以在创建角色时确定，也可以在游戏中伺机选择自己掌握的语言。" sqref="C26:D26"/>
    <dataValidation allowBlank="1" showInputMessage="1" showErrorMessage="1" promptTitle="底层社会（社交）" prompt="你懂得如何与恶棍、黑帮、毒贩、妓女、骗子及其他底层社会的罪犯打交道。你能够：_x000a_1.利用黑道上的规矩，避免斗殴与冲突_x000a_2.识别不安全的地点与危险人物_x000a_3.结交并利用黑道上的联系人——如销赃者、黑市商人、毒贩、军火贩子等等_x000a_4.询问到非法物品如毒品、赃物或武器的价格_x000a_5.识别出老练的犯罪者和骗子在说谎——就和使用察言观色的效果一样_x000a_6.收集底层社会的传言" sqref="J26:K26"/>
    <dataValidation allowBlank="1" showInputMessage="1" showErrorMessage="1" promptTitle="健康" prompt="健康决定了你承受伤害的能力、抵抗感染的能力和在有毒环境中生存的能力。当你在战斗中被击中时，健康能力池就会减少。更高的健康能力池可以使你在被伤痛压倒之前坚持得更久。_x000a_当你的健康能力池耗尽时， 你会眩晕、受伤或沦为怪物的盘中餐" sqref="Q26:R26"/>
    <dataValidation type="whole" errorStyle="warning" allowBlank="1" showInputMessage="1" showErrorMessage="1" errorTitle="警告" error="该等级不得超过12" sqref="T26 T34">
      <formula1>0</formula1>
      <formula2>11</formula2>
    </dataValidation>
    <dataValidation errorStyle="warning" allowBlank="1" showErrorMessage="1" errorTitle="警告" error="该等级不得超过12级" sqref="U26"/>
    <dataValidation allowBlank="1" showInputMessage="1" showErrorMessage="1" promptTitle="法律（学术）" prompt="你熟悉本国的刑事与民事法律，也大致了解国外的法律体系。在法律等级为2或更高时，你可能是一名注册律师。你能够：_x000a_1.评估任何行动的法律风险_x000a_2.熟悉律师的行话_x000a_3.拜访法律界的同行或人脉，以寻求帮助和建议_x000a_4.与警察和检察官辩论" sqref="C27:D27"/>
    <dataValidation allowBlank="1" showInputMessage="1" showErrorMessage="1" promptTitle="催眠" prompt="只有精神病学家和灵异现象研究者可以购买及使用该能力，通常仅限于通俗风格的游戏。此能力代表了医学临床上的催眠，而不是“灵异催眠”或卡里加里博士式的心灵控制。你只能催眠自愿的对象，并且每次只能催眠一个目标。使用催眠所需的难度检定取决于你催眠的目的。" sqref="Q27:R27"/>
    <dataValidation allowBlank="1" showInputMessage="1" showErrorMessage="1" promptTitle="文献查阅（学术）" prompt="你能从藏书、记录、文件、档案、报纸资料或大堆未整理的电报与信件中搜集情报。如果资料中包含着有用的信息，你就能够找到。你还可以确定资料中的以下信息：是谁写的、写了什么、写给谁、一位古怪的收藏家看重哪类的书籍、官方文件中可能遗失了什么内容、哪些记录看起来被篡改过、被谁篡改，等等。" sqref="C28:D28"/>
    <dataValidation allowBlank="1" showInputMessage="1" showErrorMessage="1" promptTitle="机械维修" prompt="你擅长建造、维修、操作机械设备，或者使之失灵，范围包括从简单的树枝触发陷阱到最复杂的加法机或蒸汽轮机（简单门闩除外， 和锁打交道的能力属于开锁能力的范畴）。如果有合适的零件，你甚至可以用稀奇古怪的废料做出临时应急的装备或陷阱。_x000a_在通过以下方式收集线索时， 机械维修可视作等级和能力池加倍的调查能力：_x000a_1.评估物品的制作工艺水平_x000a_2.判断某件机械小物件的功能_x000a_3.使用保养良好的机械设备的正常功能_x000a__x000a_每增加1点机械维修能力，你可以额外添加一种会操作和驾驶的重型机械" sqref="Q28:R28"/>
    <dataValidation allowBlank="1" showInputMessage="1" showErrorMessage="1" promptTitle="医学（学术）" prompt="你能诊断人体疾病、伤痛、中毒症状和生理缺陷，并大致了解兽医的知识。在等级为2或更高时， 你可以拥有行医执照。你能够：_x000a_1.诊断疾病、中毒症状以及其他小病_x000a_2.为可以治疗的症状开具药方和治疗方案_x000a_3.接生_x000a_4.鉴定失去知觉者所受的创伤程度及原因_x000a_5.检测出使人身体虚弱的因素， 如药瘾、怀孕或营养失调_x000a_6.确定一个人的健康水平_x000a_7.识别医学上的异常情况_x000a_8.熟悉医学术语_x000a_9.拜访医学界的同行或好友，以寻求帮助和建议_x000a__x000a_在守秘人的斟酌和同意下，你的角色可以在更为复杂的专业领域受训或接受全科医师培训。_x000a_" sqref="C29:D29"/>
    <dataValidation allowBlank="1" showInputMessage="1" showErrorMessage="1" promptTitle="导航" prompt="虽然几乎每个人都能划独木舟或救生艇，但你能够以专业者的沉着平静，自信地驾驶小型船舶（摩托艇、帆船、平底小渔船）或单引擎轻型飞机（马戏团的特技飞机、农药喷撒飞机）。你能够：_x000a_1.逃脱追击或进行追击_x000a_2.预测坏天气_x000a_3.避免碰撞，或使碰撞伤害最小化_x000a_4.现场改装交通工具_x000a_5.通过罗盘或星辰导航、看地图、辨别方向_x000a_6.实施应急修理_x000a__x000a_等级为1的导航能力允许你从小型船舶或单引擎轻型飞机中选择一种你会驾驶的船舶或飞机类型。每增加2点导航能力，你可以额外添加一种你会驾驶的空中或水上交通工具类型" sqref="Q29:R29"/>
    <dataValidation allowBlank="1" showInputMessage="1" showErrorMessage="1" promptTitle="神秘学（学术）" prompt="你是魔法、迷信、巫术方面的历史专家，研究的时间跨度从石器时代到今天。无论是神智学家、伏都教，还是金色黎明会，你对他们的典章故实、大小轶闻、冲突传承都了如指掌。你能够：_x000a_1.通过检查仪式的物理性后果来鉴别其传承_x000a_2.提供有关各类秘术传统、恶魔及传说的史实和轶事_x000a_3.从物理性后果推测仪式的预期效果_x000a_4.识别秘术行为是内行人士所为还是无聊猎奇者的杰作_x000a_5.冒充占卜聚会、降神会或其他秘术活动_x000a_6.读懂和绘制占星天宫图_x000a_7.鉴别秘术用具、魔法书、符记及暗号_x000a_" sqref="C30:D30"/>
    <dataValidation allowBlank="1" showInputMessage="1" showErrorMessage="1" promptTitle="艺术（技术）" prompt="你能创造艺术作品，如音乐、 绘画、舞蹈、雕塑、歌曲、诗歌和 戏剧等。你可以选择专攻一种艺术 形式，或者擅长多个门类：每增加 1个艺术能力等级，你能额外选择 一种你所擅长的艺术类型。你能在 创建角色时指定艺术类型，也能在 游戏开始后视情况而定。比如当剧 情需要时，你告诉大家其实你是个 不错的女低音。_x000a_创作伟大的（或者只是让人感兴 趣的）艺术作品都需要花费能力池点 数（参见第53页）。用这种方式花费 的点数以后不能用于其他艺术类型。_x000a_" sqref="J30:K30"/>
    <dataValidation allowBlank="1" showInputMessage="1" showErrorMessage="1" promptTitle="物品整备" prompt="你善于预测调查中的需求，将必需品高效地整理到行囊中。如果行囊就在你的身边，你可以从中取出一件克服障碍所需的物品。只要简易检定成功， 你就能得到所需物品。你不必在冒险之前就进行检定，等需要时，埋头在行囊中翻找就可以了（只要它在手边）_x000a_明显有助神话调查的道具无需此检定，包括但不限于：记事本、纸张、书写工具及墨水、手电筒、蜡烛及火柴、彩色粉笔、常用工具及五金器具、铅笔刀、放大镜、化妆镜、细绳、三明治及白兰地_x000a_当角色拥有其他能力时，默认其持有与其核心作用相匹配的基本装备_x000a_这些能随时拿出的道具种类与你的能力等级无关" sqref="Q30:R30"/>
    <dataValidation allowBlank="1" showInputMessage="1" showErrorMessage="1" promptTitle="物理学（学术）" prompt="你研究宇宙的基本作用力：压力、电磁学、运动、引力、光学以及放射现象。你能够：_x000a_1.设计或改装实验设备来测试、检测或操纵物理力与能源_x000a_2.获得并操作令人费解的昂贵实验设备，如克鲁克斯放电管、盖革计数器或磁力仪_x000a_3.懂得并运用高等数学知识，包括非欧几何学_x000a_4.尝试弄懂先进的技术或者属于异星的科技（通俗风格）_x000a__x000a_搭建实验设备通常是机械维修或电器维修的事情，而不属于物理学的范畴，虽然懂得物理学可能是搭建试验设备的前提条件。" sqref="C31:D31"/>
    <dataValidation allowBlank="1" showInputMessage="1" showErrorMessage="1" promptTitle="天文学（技术）" prompt="你研究各种天体，包括行星和恒星。你能够：_x000a_1.释读难解的天文类文献_x000a_2.使用天文望远镜，包括大型反射式望远镜_x000a_3.绘制行星和恒星的运动轨迹， 知道在特定时间，哪个星体会经过头顶_x000a_4.预测日食、彗星、流星雨等其他有规律的天文现象" sqref="J31"/>
    <dataValidation allowBlank="1" showInputMessage="1" showErrorMessage="1" promptTitle="精神分析" prompt="你可以为饱受精神问题困扰的人提供舒适的氛围、合理的建议与慰藉。你可能是一位弗洛伊德学派的精神病学家、一位神父或牧师， 或者只是出于本能的同情而已。_x000a_你可以使惊惧的调查员恢复到冷静状态、恢复已失去的坚毅点数， 并治疗调查员在活动期间罹患的一切长期精神疾病。" sqref="Q31:R31"/>
    <dataValidation allowBlank="1" showInputMessage="1" showErrorMessage="1" promptTitle="神学（学术）" prompt="你研究从古至今各种形式的人类宗教。你能够：_x000a_1.提供与宗教习俗、宗教信仰相关的信息_x000a_2.从主要宗教典籍中引述相关词句_x000a_3.识认出圣人、神灵及受到崇拜的其他宗教人物的名字和特征_x000a_4.识别出特定宗教的习俗或仪式是正统还是异端_x000a_5.伪装（或在某些宗教传统中主持）一场宗教仪式_x000a__x000a_你无法使用该能力制造神迹、驱逐魔鬼、与神祇沟通或召唤超自然力量，即使长期冒险游戏的设定中允许克苏鲁神话以外的上帝或诸神的存在。无论你是否信仰特定的宗教，该能力的效果都不受影响。" sqref="C32:D32"/>
    <dataValidation allowBlank="1" showInputMessage="1" showErrorMessage="1" promptTitle="化学（学术）" prompt="你受过专业训练，能够分析化学物质。只要有相应的实验设备， 你就能够：_x000a_1.从多种多样的物质中鉴别出毒品、药物、有毒物质和病毒_x000a_2.制作简单的爆炸物、毒药、各类毒气和酸液_x000a_3.分析未知的物质、合金、化合物等_x000a_4.对子弹或其他残留物进行弹道和火药分析_x000a_5.将证据中的泥土或植物样本与现场的做比对_x000a_6.用化学手段分析文档的墨水或纸张" sqref="J32"/>
    <dataValidation allowBlank="1" showInputMessage="1" showErrorMessage="1" promptTitle="骑术" prompt="一旦掌握窍门，骑在驯服的马匹背上是相当容易的（只要地形平坦），骑驴或是骑骡子甚至更容易。即便如此，你仍然是个中翘楚，你甚至可以驾驭倔强的马、驴或骡子驰骋飞奔，越过障碍、穿过村庄。你能够：_x000a_1.在骑乘中躲避，或骑马追击_x000a_2.照顾、刷洗坐骑，为它们钉蹄铁，并将其赶入畜舍_x000a_3.保养、安放、使用骑具，如鞍具和缰绳_x000a_4.安抚紧张不安的坐骑_x000a_5.驾驶四轮或二轮运货马车_x000a_6.在骑乘时使用武器_x000a__x000a_每增加2点骑术能力，你可以额外添加一种你会骑乘的动物" sqref="Q32:R32"/>
    <dataValidation allowBlank="1" showInputMessage="1" showErrorMessage="1" promptTitle="手艺（技术）" prompt="你能用木材、金属、宝石等材料制作有用的物品。你做的橱柜、水壶或戒指也许很漂亮，但“实用性”而非“艺术性”才是你关注的焦点。和艺术能力一样，你可以选择专攻一门手艺（铁匠、木工、箍桶等），或是每个门类都会一点： 手艺与艺术的规则类似。_x000a__x000a_你能够将手艺能力用于特定的调查目的。例如，如果你是橱匠， 你可以因此发现书桌里的暗格。" sqref="J33"/>
    <dataValidation allowBlank="1" showInputMessage="1" showErrorMessage="1" promptTitle="心智" prompt="人类是宇宙中重要的存在、大自然是友善的、上帝是仁慈的—— 这些人类精神价值观的核心会在克苏鲁神话揭露的真相面前彻底粉碎。它们成了骗人的幻影，留下的只是一个荒凉、可怕、虚无的宇宙。心智等级代表了你能将人类最基本的信念和关怀保持多久。_x000a_与其他能力不同，你永远不需要进行心智检定或花费心智能力池中的点数——它们只会一点一点地被外部世界吞噬。_x000a_一旦你的心智降到0，你秉持的信念、以及你称为“灵魂”的东西， 就会遭到完全、彻底的侵蚀。用游戏术语来说，你会变成非玩家角色。" sqref="Q33:R33"/>
    <dataValidation type="whole" errorStyle="warning" allowBlank="1" showInputMessage="1" showErrorMessage="1" errorTitle="警告" error="该等级不得超过10" sqref="T33">
      <formula1>0</formula1>
      <formula2>6</formula2>
    </dataValidation>
    <dataValidation allowBlank="1" showInputMessage="1" showErrorMessage="1" promptTitle="证物采集（技术）" prompt="你善于探查调查地点、找到重要线索并将其分类保存。你能够：_x000a_——在犯罪现场或其他调查地点发现隐藏的物品或有调查价值的物品（包括沙发下的弹壳， 或桌子后面渗出的蓝色液滴）_x000a_1.注意到犯罪现场中各物品之间的联系，重现案件发生的经过_x000a_2.发现、转移、取得、比对指纹_x000a_3.根据打出的文本，找到对应的打字机_x000a_4.将笔记与已知样本进行比对_x000a_5.保存样本并使其不受污染，以供法医鉴定_x000a_" sqref="J34"/>
    <dataValidation allowBlank="1" showInputMessage="1" showErrorMessage="1" promptTitle="坚毅" prompt="无论起始的原因是一只迎面冲来的修格斯、一群食尸鬼还是苏联内务部的严刑拷问，它们造成的震惊和恐惧都会对心灵与神经系统造成重创。神话和非神话性质的威胁都会使调查员陷入惊恐尖叫、让人僵直或晕厥的极度恐惧或者盲目的狂暴之中。你的坚毅等级代表着你对精神创伤的承受程度。_x000a_克苏鲁神话真相的突然揭示或对该真相的确信会损害你的坚毅， 而参加世界大战或得知你所爱的家人死于火灾也同样会损害坚毅。也就是说，尽管损失心智可能会减少坚毅，但这两者并非直接相关。" sqref="Q34:R34"/>
    <dataValidation allowBlank="1" showInputMessage="1" showErrorMessage="1" promptTitle="法医（技术）" prompt="你研究犯罪现场，并对死者进行尸检，以确定他们的死因与死亡情况，甚至利用骨骼证据重现死者的生理细节（年龄、性别、身体状况、有时甚至可以判断职业）。当死者属于非正常死亡时，你的检查能够确定：_x000a_1.凶手使用的武器性质_x000a_2.死亡的大致时间_x000a_3.受害者的血液中或皮肤表面是否含有酒精类物质或其他异物_x000a_4.受害者最后一餐吃了什么_x000a__x000a_在许多情况下，你能通过检查尸体的伤口分布，重现导致被害者死亡的事件经过。" sqref="J35"/>
    <dataValidation allowBlank="1" showInputMessage="1" showErrorMessage="1" promptTitle="搏击" prompt="无论你想杀死、击倒、控制或躲避对手，你都可以在徒手搏斗中不落下风。你可以自行决定，高等级的搏击能力是否代表了掌握专门的格斗技巧（如拳击、摔跤或法式踢打术）、酒吧斗殴的长期磨炼， 或者只是一记凶悍有力的右钩拳。_x000a__x000a_使用蒙皮短棒、铜指虎、金属或橡胶短棒、出拳时在指缝中夹带硬币等，都视作搏击。_x000a__x000a__x000a_" sqref="Q35:R35"/>
    <dataValidation allowBlank="1" showInputMessage="1" showErrorMessage="1" promptTitle="开锁（技术）" prompt="你可以不借助钥匙打开门和锁，或者解除报警装置（如果有必要，你也能找到容易撬开的窗户或便于强行突破的地窖门）。许多锁需要专用工具才能撬开；在大部分地区，没有锁匠执照而拥有这些工具是违法的。非常复杂棘手的锁可能要花费能力池点数才能快速而安静地打开、让锁不受损伤或在事后还能重新上锁。_x000a_使用开锁能力是一种收集线索的方法。一把打不开的锁就像一个不会开口的证人或一滩无法发现的血迹：这与重在解谜和调查的“侦探” 系统及《克苏鲁迷踪》的设计初衷是背道而驰的。只有保险箱、银行金库之类的锁需要进行能力检定。" sqref="J36"/>
    <dataValidation allowBlank="1" showInputMessage="1" showErrorMessage="1" promptTitle="警觉" prompt="该能力使你能够（通过视力或其他感觉器官）觉察到自己或他人面临的潜在危险。你能够：_x000a_1.听到深潜者潜入身后下水道时的溅水声_x000a_2.看到掠过月光的一抹身影_x000a_3.闻到“踏尘而过者”悄悄接近时发出的强烈杜松气味_x000a_4.注意到被草草藏在画架后面、刚被肢解的人骨_x000a_5.荒废大教堂中怪诞的驼背神父给人以不祥的预感" sqref="Q36:R36"/>
    <dataValidation allowBlank="1" showInputMessage="1" showErrorMessage="1" promptTitle="野外求生（技术）" prompt="你熟悉在野外的工作、习惯在野外的生活。你可能是农夫、牛仔、伐木工、业余渔猎爱好者或专业的渔夫、猎人，或是为野外公园管理处工作。也许你当年只是一名“雄鹰童子军”，或者在少有人烟之地长大，或者在军队服过役，并拥有足够的“野外”巡逻经验。你能够：_x000a_1.识别动物的异常表现_x000a_2.判定动植物是否为某地原生_x000a_3.找到可以食用的植物、猎物以及鱼类_x000a_4.生火，在夜晚或恶劣天气下在野外生存_x000a_5.在陆地上辨认路径和方向_x000a_6.在草原上或森林中追踪人类、动物、交通工具_x000a_7.驱使狗追猎猎物，包括使用警犬追踪" sqref="J37"/>
    <dataValidation allowBlank="1" showInputMessage="1" showErrorMessage="1" promptTitle="追踪" prompt="你擅长追踪可疑目标而不暴露行踪。你能够：_x000a_1.带领一组人员在短时期内追踪可疑目标，并让组内其他人员轮流接替跟踪任务，而目标不会察觉_x000a_2.用望远镜从远处监视目标_x000a_3.找到不易被发现的有利位置_x000a_4.在众目睽睽之下隐藏自己_x000a_5.估测在你视野范围内的盲点、据此制定计划，或是利用它们甩掉跟踪者" sqref="Q37:R37"/>
    <dataValidation allowBlank="1" showInputMessage="1" showErrorMessage="1" promptTitle="药剂学（技术）" prompt="你能够鉴别、合成药物和药品， 你能够：_x000a_1.鉴定药物和药剂，识别其副作用和禁忌事项_x000a_2.鉴别有毒成分、确定解毒剂_x000a_3.弄到或制造吗啡、可卡因及其他管制药物" sqref="J38"/>
    <dataValidation allowBlank="1" showInputMessage="1" showErrorMessage="1" promptTitle="潜行" prompt="你在静止时悄无声息，在移动_x000a_时也一样。你能够：_x000a_1.悄悄移动_x000a_2.躲藏在阴影或隐蔽的地方_x000a_3.躲过任何依靠视觉的安保措施，如门卫（通常）或照相机（罕有）_x000a_4.在门窗边偷听而不被察觉_x000a_当你想要悄悄地四处移动时，就使用潜行；而想要暗中甩掉追踪者时，就使用追踪（如要从追踪者眼前奋力逃跑，则使用运动或逃脱）。" sqref="Q38:R38"/>
    <dataValidation allowBlank="1" showInputMessage="1" showErrorMessage="1" promptTitle="摄影（技术）" prompt="在使用照相机方面，你具有专业水平，包括静态摄影与电影摄像。你能够：_x000a_1.为犯罪现场或探险行动留下有用的视觉记录_x000a_2.冲印相片或底版，增强、放大隐藏的细节_x000a_3.利用滤波片和光线来捕捉只在红外光或紫外光中呈现的图像_x000a_4.识别出照片或底片是否经过手工修版或使用了镜头技术_x000a_5.利用二次曝光及其他手段拍摄合成照片_x000a_6.逼真地修改、篡改照片上的图像" sqref="J39"/>
    <dataValidation allowBlank="1" showInputMessage="1" showErrorMessage="1" promptTitle="近战武器" prompt="你擅使近战武器，例如匕首、刀剑、鞭子等。_x000a_要注意，使用蒙皮短棒、铜指虎、金属或橡胶短棒、出拳时在指缝中夹带硬币等，都视作搏击" sqref="Q39:R39"/>
    <dataValidation allowBlank="1" showInputMessage="1" showErrorMessage="1" promptTitle="提示（此选项适用于通俗风格的战役框架）" prompt="每拥有3点有效坚毅等级，你必须指定一个人，在恐怖的事物即将粉碎你的心灵之时，对这个人的记忆能使你保持理智和清醒。这张由朋友、同事、家人组成的人际关系网可为你提供战斗下去的动力，使你每晚都重回那个隐秘的地穴。只需提供每个人的名字和简单描述就可以了。你不可指定调查员同伴作为坚毅之源的人物，因为他们承受了与你相同的压力，并会使你回想起你们遭遇过的恐怖经历。" sqref="C47"/>
    <dataValidation allowBlank="1" showInputMessage="1" showErrorMessage="1" promptTitle="提示" prompt="每个职业的特殊规则" sqref="J47:V47"/>
    <dataValidation type="list" allowBlank="1" showInputMessage="1" promptTitle="提示" prompt="涉及本职的任意能力请自行选择勾选框！_x000a_（如果自行选择后函数会作废，请在变更勾选框前备份人物卡）" sqref="E16:E21 E23:E32 L16:L19 L21:L26 L30:L39 S16:S25 S27:S32 S35:S39">
      <formula1>"☑,☐"</formula1>
    </dataValidation>
    <dataValidation allowBlank="1" showErrorMessage="1" prompt="看啥呢！赶紧自己算出来啊！" sqref="H11:H12"/>
  </dataValidations>
  <pageMargins left="0.69930555555555596" right="0.69930555555555596"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职业列表!$A$2:$A$25</xm:f>
          </x14:formula1>
          <xm:sqref>E6</xm:sqref>
        </x14:dataValidation>
        <x14:dataValidation type="list" allowBlank="1" showInputMessage="1" showErrorMessage="1">
          <x14:formula1>
            <xm:f>武器列表!$A$3:$A$41</xm:f>
          </x14:formula1>
          <xm:sqref>C43:H44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5"/>
  <sheetViews>
    <sheetView workbookViewId="0">
      <selection activeCell="D21" sqref="D21:O21"/>
    </sheetView>
  </sheetViews>
  <sheetFormatPr defaultColWidth="9" defaultRowHeight="13.5"/>
  <cols>
    <col min="2" max="2" width="15.75" customWidth="1"/>
    <col min="3" max="3" width="9.75" customWidth="1"/>
  </cols>
  <sheetData>
    <row r="1" spans="1:16">
      <c r="A1" s="73" t="s">
        <v>116</v>
      </c>
      <c r="B1" s="74" t="s">
        <v>117</v>
      </c>
      <c r="C1" s="74" t="s">
        <v>50</v>
      </c>
      <c r="D1" s="255" t="s">
        <v>118</v>
      </c>
      <c r="E1" s="255"/>
      <c r="F1" s="255"/>
      <c r="G1" s="255"/>
      <c r="H1" s="255"/>
      <c r="I1" s="255"/>
      <c r="J1" s="255"/>
      <c r="K1" s="255"/>
      <c r="L1" s="255"/>
      <c r="M1" s="255"/>
      <c r="N1" s="255"/>
      <c r="O1" s="256"/>
    </row>
    <row r="2" spans="1:16">
      <c r="A2" s="38">
        <v>0</v>
      </c>
      <c r="B2" s="39" t="s">
        <v>119</v>
      </c>
      <c r="C2" s="39" t="s">
        <v>120</v>
      </c>
      <c r="D2" s="251" t="s">
        <v>121</v>
      </c>
      <c r="E2" s="251"/>
      <c r="F2" s="251"/>
      <c r="G2" s="251"/>
      <c r="H2" s="251"/>
      <c r="I2" s="251"/>
      <c r="J2" s="251"/>
      <c r="K2" s="251"/>
      <c r="L2" s="251"/>
      <c r="M2" s="251"/>
      <c r="N2" s="251"/>
      <c r="O2" s="252"/>
    </row>
    <row r="3" spans="1:16">
      <c r="A3" s="38">
        <v>1</v>
      </c>
      <c r="B3" s="39" t="s">
        <v>122</v>
      </c>
      <c r="C3" s="39" t="str">
        <f>职业!C3&amp;职业!D3&amp;职业!E3</f>
        <v>3~4</v>
      </c>
      <c r="D3" s="251" t="s">
        <v>123</v>
      </c>
      <c r="E3" s="251"/>
      <c r="F3" s="251"/>
      <c r="G3" s="251"/>
      <c r="H3" s="251"/>
      <c r="I3" s="251"/>
      <c r="J3" s="251"/>
      <c r="K3" s="251"/>
      <c r="L3" s="251"/>
      <c r="M3" s="251"/>
      <c r="N3" s="251"/>
      <c r="O3" s="252"/>
      <c r="P3" s="75"/>
    </row>
    <row r="4" spans="1:16">
      <c r="A4" s="38">
        <v>2</v>
      </c>
      <c r="B4" s="39" t="s">
        <v>124</v>
      </c>
      <c r="C4" s="39" t="str">
        <f>职业!C4&amp;职业!D4&amp;职业!E4</f>
        <v>2~5</v>
      </c>
      <c r="D4" s="251" t="s">
        <v>125</v>
      </c>
      <c r="E4" s="251"/>
      <c r="F4" s="251"/>
      <c r="G4" s="251"/>
      <c r="H4" s="251"/>
      <c r="I4" s="251"/>
      <c r="J4" s="251"/>
      <c r="K4" s="251"/>
      <c r="L4" s="251"/>
      <c r="M4" s="251"/>
      <c r="N4" s="251"/>
      <c r="O4" s="252"/>
      <c r="P4" s="75"/>
    </row>
    <row r="5" spans="1:16">
      <c r="A5" s="38">
        <v>3</v>
      </c>
      <c r="B5" s="39" t="s">
        <v>126</v>
      </c>
      <c r="C5" s="39" t="str">
        <f>职业!C5&amp;职业!D5&amp;职业!E5</f>
        <v>4~5</v>
      </c>
      <c r="D5" s="251" t="s">
        <v>127</v>
      </c>
      <c r="E5" s="251"/>
      <c r="F5" s="251"/>
      <c r="G5" s="251"/>
      <c r="H5" s="251"/>
      <c r="I5" s="251"/>
      <c r="J5" s="251"/>
      <c r="K5" s="251"/>
      <c r="L5" s="251"/>
      <c r="M5" s="251"/>
      <c r="N5" s="251"/>
      <c r="O5" s="252"/>
      <c r="P5" s="75"/>
    </row>
    <row r="6" spans="1:16">
      <c r="A6" s="38">
        <v>4</v>
      </c>
      <c r="B6" s="39" t="s">
        <v>128</v>
      </c>
      <c r="C6" s="39" t="str">
        <f>职业!C6&amp;职业!D6&amp;职业!E6</f>
        <v>1~4</v>
      </c>
      <c r="D6" s="251" t="s">
        <v>129</v>
      </c>
      <c r="E6" s="251"/>
      <c r="F6" s="251"/>
      <c r="G6" s="251"/>
      <c r="H6" s="251"/>
      <c r="I6" s="251"/>
      <c r="J6" s="251"/>
      <c r="K6" s="251"/>
      <c r="L6" s="251"/>
      <c r="M6" s="251"/>
      <c r="N6" s="251"/>
      <c r="O6" s="252"/>
      <c r="P6" s="75"/>
    </row>
    <row r="7" spans="1:16">
      <c r="A7" s="38">
        <v>5</v>
      </c>
      <c r="B7" s="39" t="s">
        <v>130</v>
      </c>
      <c r="C7" s="39" t="str">
        <f>职业!C7&amp;职业!D7&amp;职业!E7</f>
        <v>1~3</v>
      </c>
      <c r="D7" s="251" t="s">
        <v>131</v>
      </c>
      <c r="E7" s="251"/>
      <c r="F7" s="251"/>
      <c r="G7" s="251"/>
      <c r="H7" s="251"/>
      <c r="I7" s="251"/>
      <c r="J7" s="251"/>
      <c r="K7" s="251"/>
      <c r="L7" s="251"/>
      <c r="M7" s="251"/>
      <c r="N7" s="251"/>
      <c r="O7" s="252"/>
      <c r="P7" s="75"/>
    </row>
    <row r="8" spans="1:16">
      <c r="A8" s="38">
        <v>6</v>
      </c>
      <c r="B8" s="39" t="s">
        <v>132</v>
      </c>
      <c r="C8" s="39" t="str">
        <f>职业!C8&amp;职业!D8&amp;职业!E8</f>
        <v>2~5</v>
      </c>
      <c r="D8" s="251" t="s">
        <v>133</v>
      </c>
      <c r="E8" s="251"/>
      <c r="F8" s="251"/>
      <c r="G8" s="251"/>
      <c r="H8" s="251"/>
      <c r="I8" s="251"/>
      <c r="J8" s="251"/>
      <c r="K8" s="251"/>
      <c r="L8" s="251"/>
      <c r="M8" s="251"/>
      <c r="N8" s="251"/>
      <c r="O8" s="252"/>
      <c r="P8" s="75"/>
    </row>
    <row r="9" spans="1:16">
      <c r="A9" s="38">
        <v>7</v>
      </c>
      <c r="B9" s="39" t="s">
        <v>134</v>
      </c>
      <c r="C9" s="39" t="str">
        <f>职业!C9&amp;职业!D9&amp;职业!E9</f>
        <v>0~4</v>
      </c>
      <c r="D9" s="251" t="s">
        <v>135</v>
      </c>
      <c r="E9" s="251"/>
      <c r="F9" s="251"/>
      <c r="G9" s="251"/>
      <c r="H9" s="251"/>
      <c r="I9" s="251"/>
      <c r="J9" s="251"/>
      <c r="K9" s="251"/>
      <c r="L9" s="251"/>
      <c r="M9" s="251"/>
      <c r="N9" s="251"/>
      <c r="O9" s="252"/>
      <c r="P9" s="75"/>
    </row>
    <row r="10" spans="1:16">
      <c r="A10" s="38">
        <v>8</v>
      </c>
      <c r="B10" s="39" t="s">
        <v>136</v>
      </c>
      <c r="C10" s="39" t="str">
        <f>职业!C10&amp;职业!D10&amp;职业!E10</f>
        <v>3+</v>
      </c>
      <c r="D10" s="251" t="s">
        <v>137</v>
      </c>
      <c r="E10" s="251"/>
      <c r="F10" s="251"/>
      <c r="G10" s="251"/>
      <c r="H10" s="251"/>
      <c r="I10" s="251"/>
      <c r="J10" s="251"/>
      <c r="K10" s="251"/>
      <c r="L10" s="251"/>
      <c r="M10" s="251"/>
      <c r="N10" s="251"/>
      <c r="O10" s="252"/>
      <c r="P10" s="75"/>
    </row>
    <row r="11" spans="1:16">
      <c r="A11" s="38">
        <v>9</v>
      </c>
      <c r="B11" s="39" t="s">
        <v>138</v>
      </c>
      <c r="C11" s="39" t="str">
        <f>职业!C11&amp;职业!D11&amp;职业!E11</f>
        <v>4~6</v>
      </c>
      <c r="D11" s="251" t="s">
        <v>139</v>
      </c>
      <c r="E11" s="251"/>
      <c r="F11" s="251"/>
      <c r="G11" s="251"/>
      <c r="H11" s="251"/>
      <c r="I11" s="251"/>
      <c r="J11" s="251"/>
      <c r="K11" s="251"/>
      <c r="L11" s="251"/>
      <c r="M11" s="251"/>
      <c r="N11" s="251"/>
      <c r="O11" s="252"/>
      <c r="P11" s="75"/>
    </row>
    <row r="12" spans="1:16">
      <c r="A12" s="38">
        <v>10</v>
      </c>
      <c r="B12" s="39" t="s">
        <v>140</v>
      </c>
      <c r="C12" s="39" t="str">
        <f>职业!C12&amp;职业!D12&amp;职业!E12</f>
        <v>0</v>
      </c>
      <c r="D12" s="251" t="s">
        <v>141</v>
      </c>
      <c r="E12" s="251"/>
      <c r="F12" s="251"/>
      <c r="G12" s="251"/>
      <c r="H12" s="251"/>
      <c r="I12" s="251"/>
      <c r="J12" s="251"/>
      <c r="K12" s="251"/>
      <c r="L12" s="251"/>
      <c r="M12" s="251"/>
      <c r="N12" s="251"/>
      <c r="O12" s="252"/>
      <c r="P12" s="75"/>
    </row>
    <row r="13" spans="1:16">
      <c r="A13" s="38">
        <v>11</v>
      </c>
      <c r="B13" s="39" t="s">
        <v>142</v>
      </c>
      <c r="C13" s="39" t="str">
        <f>职业!C13&amp;职业!D13&amp;职业!E13</f>
        <v>2~4</v>
      </c>
      <c r="D13" s="251" t="s">
        <v>143</v>
      </c>
      <c r="E13" s="251"/>
      <c r="F13" s="251"/>
      <c r="G13" s="251"/>
      <c r="H13" s="251"/>
      <c r="I13" s="251"/>
      <c r="J13" s="251"/>
      <c r="K13" s="251"/>
      <c r="L13" s="251"/>
      <c r="M13" s="251"/>
      <c r="N13" s="251"/>
      <c r="O13" s="252"/>
      <c r="P13" s="75"/>
    </row>
    <row r="14" spans="1:16">
      <c r="A14" s="38">
        <v>12</v>
      </c>
      <c r="B14" s="39" t="s">
        <v>144</v>
      </c>
      <c r="C14" s="39" t="str">
        <f>职业!C14&amp;职业!D14&amp;职业!E14</f>
        <v>2~4</v>
      </c>
      <c r="D14" s="251" t="s">
        <v>145</v>
      </c>
      <c r="E14" s="251"/>
      <c r="F14" s="251"/>
      <c r="G14" s="251"/>
      <c r="H14" s="251"/>
      <c r="I14" s="251"/>
      <c r="J14" s="251"/>
      <c r="K14" s="251"/>
      <c r="L14" s="251"/>
      <c r="M14" s="251"/>
      <c r="N14" s="251"/>
      <c r="O14" s="252"/>
      <c r="P14" s="75"/>
    </row>
    <row r="15" spans="1:16">
      <c r="A15" s="38">
        <v>13</v>
      </c>
      <c r="B15" s="39" t="s">
        <v>146</v>
      </c>
      <c r="C15" s="39" t="str">
        <f>职业!C15&amp;职业!D15&amp;职业!E15</f>
        <v>2~4</v>
      </c>
      <c r="D15" s="251" t="s">
        <v>147</v>
      </c>
      <c r="E15" s="251"/>
      <c r="F15" s="251"/>
      <c r="G15" s="251"/>
      <c r="H15" s="251"/>
      <c r="I15" s="251"/>
      <c r="J15" s="251"/>
      <c r="K15" s="251"/>
      <c r="L15" s="251"/>
      <c r="M15" s="251"/>
      <c r="N15" s="251"/>
      <c r="O15" s="252"/>
      <c r="P15" s="75"/>
    </row>
    <row r="16" spans="1:16">
      <c r="A16" s="38">
        <v>14</v>
      </c>
      <c r="B16" s="39" t="s">
        <v>148</v>
      </c>
      <c r="C16" s="39" t="str">
        <f>职业!C16&amp;职业!D16&amp;职业!E16</f>
        <v>2~4</v>
      </c>
      <c r="D16" s="251" t="s">
        <v>149</v>
      </c>
      <c r="E16" s="251"/>
      <c r="F16" s="251"/>
      <c r="G16" s="251"/>
      <c r="H16" s="251"/>
      <c r="I16" s="251"/>
      <c r="J16" s="251"/>
      <c r="K16" s="251"/>
      <c r="L16" s="251"/>
      <c r="M16" s="251"/>
      <c r="N16" s="251"/>
      <c r="O16" s="252"/>
      <c r="P16" s="75"/>
    </row>
    <row r="17" spans="1:16">
      <c r="A17" s="38">
        <v>15</v>
      </c>
      <c r="B17" s="39" t="s">
        <v>150</v>
      </c>
      <c r="C17" s="39" t="str">
        <f>职业!C17&amp;职业!D17&amp;职业!E17</f>
        <v>2~4</v>
      </c>
      <c r="D17" s="251" t="s">
        <v>151</v>
      </c>
      <c r="E17" s="251"/>
      <c r="F17" s="251"/>
      <c r="G17" s="251"/>
      <c r="H17" s="251"/>
      <c r="I17" s="251"/>
      <c r="J17" s="251"/>
      <c r="K17" s="251"/>
      <c r="L17" s="251"/>
      <c r="M17" s="251"/>
      <c r="N17" s="251"/>
      <c r="O17" s="252"/>
      <c r="P17" s="75"/>
    </row>
    <row r="18" spans="1:16">
      <c r="A18" s="38">
        <v>16</v>
      </c>
      <c r="B18" s="39" t="s">
        <v>152</v>
      </c>
      <c r="C18" s="39" t="str">
        <f>职业!C18&amp;职业!D18&amp;职业!E18</f>
        <v>2~5</v>
      </c>
      <c r="D18" s="251" t="s">
        <v>153</v>
      </c>
      <c r="E18" s="251"/>
      <c r="F18" s="251"/>
      <c r="G18" s="251"/>
      <c r="H18" s="251"/>
      <c r="I18" s="251"/>
      <c r="J18" s="251"/>
      <c r="K18" s="251"/>
      <c r="L18" s="251"/>
      <c r="M18" s="251"/>
      <c r="N18" s="251"/>
      <c r="O18" s="252"/>
      <c r="P18" s="75"/>
    </row>
    <row r="19" spans="1:16">
      <c r="A19" s="38">
        <v>17</v>
      </c>
      <c r="B19" s="39" t="s">
        <v>154</v>
      </c>
      <c r="C19" s="39" t="str">
        <f>职业!C19&amp;职业!D19&amp;职业!E19</f>
        <v>2~4</v>
      </c>
      <c r="D19" s="251" t="s">
        <v>155</v>
      </c>
      <c r="E19" s="251"/>
      <c r="F19" s="251"/>
      <c r="G19" s="251"/>
      <c r="H19" s="251"/>
      <c r="I19" s="251"/>
      <c r="J19" s="251"/>
      <c r="K19" s="251"/>
      <c r="L19" s="251"/>
      <c r="M19" s="251"/>
      <c r="N19" s="251"/>
      <c r="O19" s="252"/>
      <c r="P19" s="75"/>
    </row>
    <row r="20" spans="1:16">
      <c r="A20" s="38">
        <v>18</v>
      </c>
      <c r="B20" s="39" t="s">
        <v>156</v>
      </c>
      <c r="C20" s="39" t="str">
        <f>职业!C20&amp;职业!D20&amp;职业!E20</f>
        <v>2~3</v>
      </c>
      <c r="D20" s="251" t="s">
        <v>157</v>
      </c>
      <c r="E20" s="251"/>
      <c r="F20" s="251"/>
      <c r="G20" s="251"/>
      <c r="H20" s="251"/>
      <c r="I20" s="251"/>
      <c r="J20" s="251"/>
      <c r="K20" s="251"/>
      <c r="L20" s="251"/>
      <c r="M20" s="251"/>
      <c r="N20" s="251"/>
      <c r="O20" s="252"/>
      <c r="P20" s="75"/>
    </row>
    <row r="21" spans="1:16">
      <c r="A21" s="38">
        <v>19</v>
      </c>
      <c r="B21" s="39" t="s">
        <v>158</v>
      </c>
      <c r="C21" s="39" t="str">
        <f>职业!C21&amp;职业!D21&amp;职业!E21</f>
        <v>2~3</v>
      </c>
      <c r="D21" s="251" t="s">
        <v>159</v>
      </c>
      <c r="E21" s="251"/>
      <c r="F21" s="251"/>
      <c r="G21" s="251"/>
      <c r="H21" s="251"/>
      <c r="I21" s="251"/>
      <c r="J21" s="251"/>
      <c r="K21" s="251"/>
      <c r="L21" s="251"/>
      <c r="M21" s="251"/>
      <c r="N21" s="251"/>
      <c r="O21" s="252"/>
      <c r="P21" s="75"/>
    </row>
    <row r="22" spans="1:16">
      <c r="A22" s="38">
        <v>20</v>
      </c>
      <c r="B22" s="39" t="s">
        <v>160</v>
      </c>
      <c r="C22" s="39" t="str">
        <f>职业!C22&amp;职业!D22&amp;职业!E22</f>
        <v>3~4</v>
      </c>
      <c r="D22" s="251" t="s">
        <v>161</v>
      </c>
      <c r="E22" s="251"/>
      <c r="F22" s="251"/>
      <c r="G22" s="251"/>
      <c r="H22" s="251"/>
      <c r="I22" s="251"/>
      <c r="J22" s="251"/>
      <c r="K22" s="251"/>
      <c r="L22" s="251"/>
      <c r="M22" s="251"/>
      <c r="N22" s="251"/>
      <c r="O22" s="252"/>
      <c r="P22" s="75"/>
    </row>
    <row r="23" spans="1:16">
      <c r="A23" s="38">
        <v>21</v>
      </c>
      <c r="B23" s="39" t="s">
        <v>162</v>
      </c>
      <c r="C23" s="39" t="str">
        <f>职业!C23&amp;职业!D23&amp;职业!E23</f>
        <v>2~3</v>
      </c>
      <c r="D23" s="251" t="s">
        <v>163</v>
      </c>
      <c r="E23" s="251"/>
      <c r="F23" s="251"/>
      <c r="G23" s="251"/>
      <c r="H23" s="251"/>
      <c r="I23" s="251"/>
      <c r="J23" s="251"/>
      <c r="K23" s="251"/>
      <c r="L23" s="251"/>
      <c r="M23" s="251"/>
      <c r="N23" s="251"/>
      <c r="O23" s="252"/>
      <c r="P23" s="75"/>
    </row>
    <row r="24" spans="1:16">
      <c r="A24" s="38">
        <v>22</v>
      </c>
      <c r="B24" s="39" t="s">
        <v>164</v>
      </c>
      <c r="C24" s="39" t="str">
        <f>职业!C24&amp;职业!D24&amp;职业!E24</f>
        <v>3~5</v>
      </c>
      <c r="D24" s="251" t="s">
        <v>165</v>
      </c>
      <c r="E24" s="251"/>
      <c r="F24" s="251"/>
      <c r="G24" s="251"/>
      <c r="H24" s="251"/>
      <c r="I24" s="251"/>
      <c r="J24" s="251"/>
      <c r="K24" s="251"/>
      <c r="L24" s="251"/>
      <c r="M24" s="251"/>
      <c r="N24" s="251"/>
      <c r="O24" s="252"/>
      <c r="P24" s="75"/>
    </row>
    <row r="25" spans="1:16">
      <c r="A25" s="41">
        <v>23</v>
      </c>
      <c r="B25" s="42" t="s">
        <v>166</v>
      </c>
      <c r="C25" s="42" t="str">
        <f>职业!C25&amp;职业!D25&amp;职业!E25</f>
        <v>3~4</v>
      </c>
      <c r="D25" s="253" t="s">
        <v>167</v>
      </c>
      <c r="E25" s="253"/>
      <c r="F25" s="253"/>
      <c r="G25" s="253"/>
      <c r="H25" s="253"/>
      <c r="I25" s="253"/>
      <c r="J25" s="253"/>
      <c r="K25" s="253"/>
      <c r="L25" s="253"/>
      <c r="M25" s="253"/>
      <c r="N25" s="253"/>
      <c r="O25" s="254"/>
      <c r="P25" s="75"/>
    </row>
  </sheetData>
  <mergeCells count="25">
    <mergeCell ref="D1:O1"/>
    <mergeCell ref="D2:O2"/>
    <mergeCell ref="D3:O3"/>
    <mergeCell ref="D4:O4"/>
    <mergeCell ref="D5:O5"/>
    <mergeCell ref="D6:O6"/>
    <mergeCell ref="D7:O7"/>
    <mergeCell ref="D8:O8"/>
    <mergeCell ref="D9:O9"/>
    <mergeCell ref="D10:O10"/>
    <mergeCell ref="D11:O11"/>
    <mergeCell ref="D12:O12"/>
    <mergeCell ref="D13:O13"/>
    <mergeCell ref="D14:O14"/>
    <mergeCell ref="D15:O15"/>
    <mergeCell ref="D16:O16"/>
    <mergeCell ref="D17:O17"/>
    <mergeCell ref="D18:O18"/>
    <mergeCell ref="D19:O19"/>
    <mergeCell ref="D20:O20"/>
    <mergeCell ref="D21:O21"/>
    <mergeCell ref="D22:O22"/>
    <mergeCell ref="D23:O23"/>
    <mergeCell ref="D24:O24"/>
    <mergeCell ref="D25:O25"/>
  </mergeCells>
  <phoneticPr fontId="21" type="noConversion"/>
  <conditionalFormatting sqref="A2:A3">
    <cfRule type="expression" dxfId="17" priority="4">
      <formula>MOD(ROW(),2)=0</formula>
    </cfRule>
  </conditionalFormatting>
  <conditionalFormatting sqref="B2:B3">
    <cfRule type="expression" dxfId="16" priority="1">
      <formula>MOD(ROW(),2)=0</formula>
    </cfRule>
  </conditionalFormatting>
  <conditionalFormatting sqref="C2:C3">
    <cfRule type="expression" dxfId="15" priority="2">
      <formula>MOD(ROW(),2)=0</formula>
    </cfRule>
  </conditionalFormatting>
  <conditionalFormatting sqref="D2:D4">
    <cfRule type="expression" dxfId="14" priority="3">
      <formula>MOD(ROW(),2)=0</formula>
    </cfRule>
  </conditionalFormatting>
  <conditionalFormatting sqref="D14:D18">
    <cfRule type="expression" dxfId="13" priority="5">
      <formula>MOD(ROW(),2)=0</formula>
    </cfRule>
  </conditionalFormatting>
  <conditionalFormatting sqref="A4:B25">
    <cfRule type="expression" dxfId="12" priority="6">
      <formula>MOD(ROW(),2)=0</formula>
    </cfRule>
  </conditionalFormatting>
  <conditionalFormatting sqref="C5:D13 C19:D25 C14:C18 C4">
    <cfRule type="expression" dxfId="11" priority="13">
      <formula>MOD(ROW(),2)=0</formula>
    </cfRule>
  </conditionalFormatting>
  <pageMargins left="0.69930555555555596" right="0.69930555555555596"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V50"/>
  <sheetViews>
    <sheetView showGridLines="0" showRowColHeaders="0" topLeftCell="A4" workbookViewId="0">
      <selection activeCell="W10" sqref="W10"/>
    </sheetView>
  </sheetViews>
  <sheetFormatPr defaultColWidth="6.25" defaultRowHeight="16.5"/>
  <cols>
    <col min="1" max="7" width="6.25" style="23"/>
    <col min="8" max="8" width="2.75" style="23" customWidth="1"/>
    <col min="9" max="14" width="6.25" style="23"/>
    <col min="15" max="15" width="2" style="23" customWidth="1"/>
    <col min="16" max="16384" width="6.25" style="23"/>
  </cols>
  <sheetData>
    <row r="2" spans="2:22">
      <c r="B2" s="147" t="s">
        <v>168</v>
      </c>
      <c r="C2" s="147"/>
      <c r="D2" s="164" t="s">
        <v>169</v>
      </c>
      <c r="E2" s="164"/>
      <c r="F2" s="164"/>
      <c r="G2" s="164"/>
      <c r="I2" s="276" t="s">
        <v>7</v>
      </c>
      <c r="J2" s="277"/>
      <c r="K2" s="278">
        <v>6</v>
      </c>
      <c r="L2" s="279"/>
      <c r="M2" s="280" t="str">
        <f>"/"&amp;4+U32</f>
        <v>/6</v>
      </c>
      <c r="N2" s="175"/>
      <c r="P2" s="263" t="s">
        <v>2</v>
      </c>
      <c r="Q2" s="264"/>
      <c r="R2" s="264"/>
      <c r="S2" s="264"/>
      <c r="T2" s="264"/>
      <c r="U2" s="264"/>
      <c r="V2" s="265"/>
    </row>
    <row r="3" spans="2:22">
      <c r="B3" s="147" t="s">
        <v>8</v>
      </c>
      <c r="C3" s="147"/>
      <c r="D3" s="164" t="s">
        <v>170</v>
      </c>
      <c r="E3" s="164"/>
      <c r="F3" s="164"/>
      <c r="G3" s="164"/>
      <c r="I3" s="272"/>
      <c r="J3" s="147"/>
      <c r="K3" s="273"/>
      <c r="L3" s="274"/>
      <c r="M3" s="275"/>
      <c r="N3" s="165"/>
      <c r="P3" s="266"/>
      <c r="Q3" s="267"/>
      <c r="R3" s="267"/>
      <c r="S3" s="267"/>
      <c r="T3" s="267"/>
      <c r="U3" s="267"/>
      <c r="V3" s="268"/>
    </row>
    <row r="4" spans="2:22">
      <c r="B4" s="147" t="s">
        <v>13</v>
      </c>
      <c r="C4" s="147"/>
      <c r="D4" s="164" t="s">
        <v>171</v>
      </c>
      <c r="E4" s="164"/>
      <c r="F4" s="164"/>
      <c r="G4" s="164"/>
      <c r="I4" s="272" t="s">
        <v>12</v>
      </c>
      <c r="J4" s="147"/>
      <c r="K4" s="273">
        <v>6</v>
      </c>
      <c r="L4" s="274"/>
      <c r="M4" s="275" t="str">
        <f>"/"&amp;1+U33</f>
        <v>/6</v>
      </c>
      <c r="N4" s="165"/>
      <c r="P4" s="266"/>
      <c r="Q4" s="267"/>
      <c r="R4" s="267"/>
      <c r="S4" s="267"/>
      <c r="T4" s="267"/>
      <c r="U4" s="267"/>
      <c r="V4" s="268"/>
    </row>
    <row r="5" spans="2:22">
      <c r="B5" s="147" t="s">
        <v>119</v>
      </c>
      <c r="C5" s="147"/>
      <c r="D5" s="164" t="s">
        <v>172</v>
      </c>
      <c r="E5" s="164"/>
      <c r="F5" s="164"/>
      <c r="G5" s="164"/>
      <c r="I5" s="272"/>
      <c r="J5" s="147"/>
      <c r="K5" s="273"/>
      <c r="L5" s="274"/>
      <c r="M5" s="275"/>
      <c r="N5" s="165"/>
      <c r="P5" s="266"/>
      <c r="Q5" s="267"/>
      <c r="R5" s="267"/>
      <c r="S5" s="267"/>
      <c r="T5" s="267"/>
      <c r="U5" s="267"/>
      <c r="V5" s="268"/>
    </row>
    <row r="6" spans="2:22">
      <c r="B6" s="147" t="s">
        <v>18</v>
      </c>
      <c r="C6" s="147"/>
      <c r="D6" s="291" t="s">
        <v>173</v>
      </c>
      <c r="E6" s="291"/>
      <c r="F6" s="291"/>
      <c r="G6" s="291"/>
      <c r="I6" s="272" t="s">
        <v>15</v>
      </c>
      <c r="J6" s="147"/>
      <c r="K6" s="273">
        <v>8</v>
      </c>
      <c r="L6" s="274"/>
      <c r="M6" s="275" t="str">
        <f>"/"&amp;1+U25</f>
        <v>/8</v>
      </c>
      <c r="N6" s="165"/>
      <c r="P6" s="266"/>
      <c r="Q6" s="267"/>
      <c r="R6" s="267"/>
      <c r="S6" s="267"/>
      <c r="T6" s="267"/>
      <c r="U6" s="267"/>
      <c r="V6" s="268"/>
    </row>
    <row r="7" spans="2:22">
      <c r="B7" s="147"/>
      <c r="C7" s="147"/>
      <c r="D7" s="288" t="s">
        <v>174</v>
      </c>
      <c r="E7" s="288"/>
      <c r="F7" s="288"/>
      <c r="G7" s="288"/>
      <c r="I7" s="272"/>
      <c r="J7" s="147"/>
      <c r="K7" s="273"/>
      <c r="L7" s="274"/>
      <c r="M7" s="275"/>
      <c r="N7" s="165"/>
      <c r="P7" s="266"/>
      <c r="Q7" s="267"/>
      <c r="R7" s="267"/>
      <c r="S7" s="267"/>
      <c r="T7" s="267"/>
      <c r="U7" s="267"/>
      <c r="V7" s="268"/>
    </row>
    <row r="8" spans="2:22">
      <c r="B8" s="147"/>
      <c r="C8" s="147"/>
      <c r="D8" s="288"/>
      <c r="E8" s="288"/>
      <c r="F8" s="288"/>
      <c r="G8" s="288"/>
      <c r="I8" s="272" t="s">
        <v>111</v>
      </c>
      <c r="J8" s="147"/>
      <c r="K8" s="258" t="s">
        <v>175</v>
      </c>
      <c r="L8" s="258"/>
      <c r="M8" s="258"/>
      <c r="N8" s="261"/>
      <c r="P8" s="266"/>
      <c r="Q8" s="267"/>
      <c r="R8" s="267"/>
      <c r="S8" s="267"/>
      <c r="T8" s="267"/>
      <c r="U8" s="267"/>
      <c r="V8" s="268"/>
    </row>
    <row r="9" spans="2:22">
      <c r="B9" s="147"/>
      <c r="C9" s="147"/>
      <c r="D9" s="289"/>
      <c r="E9" s="289"/>
      <c r="F9" s="289"/>
      <c r="G9" s="289"/>
      <c r="I9" s="272"/>
      <c r="J9" s="147"/>
      <c r="K9" s="258"/>
      <c r="L9" s="258"/>
      <c r="M9" s="258"/>
      <c r="N9" s="261"/>
      <c r="P9" s="266"/>
      <c r="Q9" s="267"/>
      <c r="R9" s="267"/>
      <c r="S9" s="267"/>
      <c r="T9" s="267"/>
      <c r="U9" s="267"/>
      <c r="V9" s="268"/>
    </row>
    <row r="10" spans="2:22">
      <c r="B10" s="147" t="s">
        <v>176</v>
      </c>
      <c r="C10" s="147"/>
      <c r="D10" s="147">
        <v>18</v>
      </c>
      <c r="E10" s="147"/>
      <c r="F10" s="66" t="s">
        <v>28</v>
      </c>
      <c r="G10" s="66">
        <f>D10-SUM(E15:E41,L15:L28,L30:L41,S15:S41)</f>
        <v>-8</v>
      </c>
      <c r="I10" s="272"/>
      <c r="J10" s="147"/>
      <c r="K10" s="258"/>
      <c r="L10" s="258"/>
      <c r="M10" s="258"/>
      <c r="N10" s="261"/>
      <c r="P10" s="266"/>
      <c r="Q10" s="267"/>
      <c r="R10" s="267"/>
      <c r="S10" s="267"/>
      <c r="T10" s="267"/>
      <c r="U10" s="267"/>
      <c r="V10" s="268"/>
    </row>
    <row r="11" spans="2:22">
      <c r="B11" s="147" t="s">
        <v>177</v>
      </c>
      <c r="C11" s="147"/>
      <c r="D11" s="147">
        <v>65</v>
      </c>
      <c r="E11" s="147"/>
      <c r="F11" s="66" t="s">
        <v>28</v>
      </c>
      <c r="G11" s="66">
        <f>D11-SUM(T15:T41)</f>
        <v>20</v>
      </c>
      <c r="I11" s="281"/>
      <c r="J11" s="198"/>
      <c r="K11" s="260"/>
      <c r="L11" s="260"/>
      <c r="M11" s="260"/>
      <c r="N11" s="262"/>
      <c r="P11" s="269"/>
      <c r="Q11" s="270"/>
      <c r="R11" s="270"/>
      <c r="S11" s="270"/>
      <c r="T11" s="270"/>
      <c r="U11" s="270"/>
      <c r="V11" s="271"/>
    </row>
    <row r="13" spans="2:22">
      <c r="B13" s="290" t="s">
        <v>31</v>
      </c>
      <c r="C13" s="284"/>
      <c r="D13" s="284"/>
      <c r="E13" s="284"/>
      <c r="F13" s="284"/>
      <c r="G13" s="284"/>
      <c r="H13" s="277"/>
      <c r="I13" s="284" t="s">
        <v>32</v>
      </c>
      <c r="J13" s="284"/>
      <c r="K13" s="284"/>
      <c r="L13" s="284"/>
      <c r="M13" s="284"/>
      <c r="N13" s="284"/>
      <c r="O13" s="277"/>
      <c r="P13" s="284" t="s">
        <v>30</v>
      </c>
      <c r="Q13" s="284"/>
      <c r="R13" s="284"/>
      <c r="S13" s="284"/>
      <c r="T13" s="284"/>
      <c r="U13" s="284"/>
      <c r="V13" s="285"/>
    </row>
    <row r="14" spans="2:22">
      <c r="B14" s="286" t="s">
        <v>33</v>
      </c>
      <c r="C14" s="287"/>
      <c r="D14" s="67" t="s">
        <v>34</v>
      </c>
      <c r="E14" s="67" t="s">
        <v>178</v>
      </c>
      <c r="F14" s="67" t="s">
        <v>26</v>
      </c>
      <c r="G14" s="67" t="s">
        <v>28</v>
      </c>
      <c r="H14" s="147"/>
      <c r="I14" s="287" t="s">
        <v>33</v>
      </c>
      <c r="J14" s="287"/>
      <c r="K14" s="67" t="s">
        <v>34</v>
      </c>
      <c r="L14" s="67" t="s">
        <v>178</v>
      </c>
      <c r="M14" s="67" t="s">
        <v>26</v>
      </c>
      <c r="N14" s="67" t="s">
        <v>28</v>
      </c>
      <c r="O14" s="147"/>
      <c r="P14" s="287" t="s">
        <v>33</v>
      </c>
      <c r="Q14" s="287"/>
      <c r="R14" s="67" t="s">
        <v>34</v>
      </c>
      <c r="S14" s="67" t="s">
        <v>178</v>
      </c>
      <c r="T14" s="67" t="s">
        <v>36</v>
      </c>
      <c r="U14" s="67" t="s">
        <v>26</v>
      </c>
      <c r="V14" s="69" t="s">
        <v>28</v>
      </c>
    </row>
    <row r="15" spans="2:22">
      <c r="B15" s="272" t="s">
        <v>37</v>
      </c>
      <c r="C15" s="147"/>
      <c r="D15" s="66"/>
      <c r="E15" s="66"/>
      <c r="F15" s="66">
        <f>IF(D15=0,E15,E15*2)</f>
        <v>0</v>
      </c>
      <c r="G15" s="66"/>
      <c r="H15" s="147"/>
      <c r="I15" s="147" t="s">
        <v>38</v>
      </c>
      <c r="J15" s="147"/>
      <c r="K15" s="66" t="s">
        <v>179</v>
      </c>
      <c r="L15" s="66"/>
      <c r="M15" s="66">
        <f>IF(K15=0,L15,L15*2)</f>
        <v>0</v>
      </c>
      <c r="N15" s="66"/>
      <c r="O15" s="147"/>
      <c r="P15" s="147" t="s">
        <v>39</v>
      </c>
      <c r="Q15" s="147"/>
      <c r="R15" s="66"/>
      <c r="S15" s="66"/>
      <c r="T15" s="66">
        <v>3</v>
      </c>
      <c r="U15" s="66">
        <f>IF(R15=0,S15+T15,S15*2+T15)</f>
        <v>3</v>
      </c>
      <c r="V15" s="70"/>
    </row>
    <row r="16" spans="2:22">
      <c r="B16" s="272" t="s">
        <v>40</v>
      </c>
      <c r="C16" s="147"/>
      <c r="D16" s="66"/>
      <c r="E16" s="66"/>
      <c r="F16" s="66">
        <f t="shared" ref="F16:F41" si="0">IF(D16=0,E16,E16*2)</f>
        <v>0</v>
      </c>
      <c r="G16" s="66"/>
      <c r="H16" s="147"/>
      <c r="I16" s="147" t="s">
        <v>41</v>
      </c>
      <c r="J16" s="147"/>
      <c r="K16" s="66"/>
      <c r="L16" s="66"/>
      <c r="M16" s="66">
        <f t="shared" ref="M16:M41" si="1">IF(K16=0,L16,L16*2)</f>
        <v>0</v>
      </c>
      <c r="N16" s="66"/>
      <c r="O16" s="147"/>
      <c r="P16" s="147" t="s">
        <v>42</v>
      </c>
      <c r="Q16" s="147"/>
      <c r="R16" s="66"/>
      <c r="S16" s="66"/>
      <c r="T16" s="66"/>
      <c r="U16" s="66">
        <f t="shared" ref="U16:U41" si="2">IF(R16=0,S16+T16,S16*2+T16)</f>
        <v>0</v>
      </c>
      <c r="V16" s="70"/>
    </row>
    <row r="17" spans="2:22">
      <c r="B17" s="272" t="s">
        <v>43</v>
      </c>
      <c r="C17" s="147"/>
      <c r="D17" s="66"/>
      <c r="E17" s="66">
        <v>4</v>
      </c>
      <c r="F17" s="66">
        <f t="shared" si="0"/>
        <v>4</v>
      </c>
      <c r="G17" s="66"/>
      <c r="H17" s="147"/>
      <c r="I17" s="147" t="s">
        <v>44</v>
      </c>
      <c r="J17" s="147"/>
      <c r="K17" s="66" t="s">
        <v>179</v>
      </c>
      <c r="L17" s="66"/>
      <c r="M17" s="66">
        <f t="shared" si="1"/>
        <v>0</v>
      </c>
      <c r="N17" s="66"/>
      <c r="O17" s="147"/>
      <c r="P17" s="147" t="s">
        <v>45</v>
      </c>
      <c r="Q17" s="147"/>
      <c r="R17" s="66" t="s">
        <v>179</v>
      </c>
      <c r="S17" s="66"/>
      <c r="T17" s="66"/>
      <c r="U17" s="66">
        <f t="shared" si="2"/>
        <v>0</v>
      </c>
      <c r="V17" s="70"/>
    </row>
    <row r="18" spans="2:22">
      <c r="B18" s="272" t="s">
        <v>46</v>
      </c>
      <c r="C18" s="147"/>
      <c r="D18" s="66"/>
      <c r="E18" s="66"/>
      <c r="F18" s="66">
        <f t="shared" si="0"/>
        <v>0</v>
      </c>
      <c r="G18" s="66"/>
      <c r="H18" s="147"/>
      <c r="I18" s="147" t="s">
        <v>47</v>
      </c>
      <c r="J18" s="147"/>
      <c r="K18" s="66" t="s">
        <v>179</v>
      </c>
      <c r="L18" s="66"/>
      <c r="M18" s="66">
        <f t="shared" si="1"/>
        <v>0</v>
      </c>
      <c r="N18" s="66"/>
      <c r="O18" s="147"/>
      <c r="P18" s="147" t="s">
        <v>48</v>
      </c>
      <c r="Q18" s="147"/>
      <c r="R18" s="66"/>
      <c r="S18" s="66"/>
      <c r="T18" s="66"/>
      <c r="U18" s="66">
        <f t="shared" si="2"/>
        <v>0</v>
      </c>
      <c r="V18" s="70"/>
    </row>
    <row r="19" spans="2:22">
      <c r="B19" s="272" t="s">
        <v>49</v>
      </c>
      <c r="C19" s="147"/>
      <c r="D19" s="66"/>
      <c r="E19" s="66"/>
      <c r="F19" s="66">
        <f t="shared" si="0"/>
        <v>0</v>
      </c>
      <c r="G19" s="66"/>
      <c r="H19" s="147"/>
      <c r="I19" s="147" t="s">
        <v>50</v>
      </c>
      <c r="J19" s="147"/>
      <c r="K19" s="66"/>
      <c r="L19" s="66">
        <v>4</v>
      </c>
      <c r="M19" s="66">
        <f t="shared" si="1"/>
        <v>4</v>
      </c>
      <c r="N19" s="66"/>
      <c r="O19" s="147"/>
      <c r="P19" s="147" t="s">
        <v>51</v>
      </c>
      <c r="Q19" s="147"/>
      <c r="R19" s="66"/>
      <c r="S19" s="66"/>
      <c r="T19" s="66"/>
      <c r="U19" s="66">
        <f t="shared" si="2"/>
        <v>0</v>
      </c>
      <c r="V19" s="70"/>
    </row>
    <row r="20" spans="2:22">
      <c r="B20" s="272" t="s">
        <v>52</v>
      </c>
      <c r="C20" s="147"/>
      <c r="D20" s="66"/>
      <c r="E20" s="66"/>
      <c r="F20" s="66">
        <f t="shared" si="0"/>
        <v>0</v>
      </c>
      <c r="G20" s="66"/>
      <c r="H20" s="147"/>
      <c r="I20" s="147" t="s">
        <v>53</v>
      </c>
      <c r="J20" s="147"/>
      <c r="K20" s="66"/>
      <c r="L20" s="66"/>
      <c r="M20" s="66">
        <f t="shared" si="1"/>
        <v>0</v>
      </c>
      <c r="N20" s="66"/>
      <c r="O20" s="147"/>
      <c r="P20" s="147" t="s">
        <v>54</v>
      </c>
      <c r="Q20" s="147"/>
      <c r="R20" s="66"/>
      <c r="S20" s="66"/>
      <c r="T20" s="66"/>
      <c r="U20" s="66">
        <f t="shared" si="2"/>
        <v>0</v>
      </c>
      <c r="V20" s="70"/>
    </row>
    <row r="21" spans="2:22">
      <c r="B21" s="272" t="s">
        <v>55</v>
      </c>
      <c r="C21" s="147"/>
      <c r="D21" s="66" t="s">
        <v>56</v>
      </c>
      <c r="E21" s="66"/>
      <c r="F21" s="66">
        <f>E21</f>
        <v>0</v>
      </c>
      <c r="G21" s="66"/>
      <c r="H21" s="147"/>
      <c r="I21" s="147" t="s">
        <v>57</v>
      </c>
      <c r="J21" s="147"/>
      <c r="K21" s="66"/>
      <c r="L21" s="66"/>
      <c r="M21" s="66">
        <f t="shared" si="1"/>
        <v>0</v>
      </c>
      <c r="N21" s="66"/>
      <c r="O21" s="147"/>
      <c r="P21" s="147" t="s">
        <v>58</v>
      </c>
      <c r="Q21" s="147"/>
      <c r="R21" s="66"/>
      <c r="S21" s="66"/>
      <c r="T21" s="66"/>
      <c r="U21" s="66">
        <f t="shared" si="2"/>
        <v>0</v>
      </c>
      <c r="V21" s="70"/>
    </row>
    <row r="22" spans="2:22">
      <c r="B22" s="272" t="s">
        <v>59</v>
      </c>
      <c r="C22" s="147"/>
      <c r="D22" s="66"/>
      <c r="E22" s="66"/>
      <c r="F22" s="66">
        <f t="shared" si="0"/>
        <v>0</v>
      </c>
      <c r="G22" s="66"/>
      <c r="H22" s="147"/>
      <c r="I22" s="147" t="s">
        <v>60</v>
      </c>
      <c r="J22" s="147"/>
      <c r="K22" s="66"/>
      <c r="L22" s="66"/>
      <c r="M22" s="66">
        <f t="shared" si="1"/>
        <v>0</v>
      </c>
      <c r="N22" s="66"/>
      <c r="O22" s="147"/>
      <c r="P22" s="147" t="s">
        <v>61</v>
      </c>
      <c r="Q22" s="147"/>
      <c r="R22" s="66"/>
      <c r="S22" s="66"/>
      <c r="T22" s="66"/>
      <c r="U22" s="66">
        <f t="shared" si="2"/>
        <v>0</v>
      </c>
      <c r="V22" s="70"/>
    </row>
    <row r="23" spans="2:22">
      <c r="B23" s="272" t="s">
        <v>62</v>
      </c>
      <c r="C23" s="147"/>
      <c r="D23" s="66"/>
      <c r="E23" s="66"/>
      <c r="F23" s="66">
        <f t="shared" si="0"/>
        <v>0</v>
      </c>
      <c r="G23" s="66"/>
      <c r="H23" s="147"/>
      <c r="I23" s="147" t="s">
        <v>63</v>
      </c>
      <c r="J23" s="147"/>
      <c r="K23" s="66" t="s">
        <v>179</v>
      </c>
      <c r="L23" s="66"/>
      <c r="M23" s="66">
        <f t="shared" si="1"/>
        <v>0</v>
      </c>
      <c r="N23" s="66"/>
      <c r="O23" s="147"/>
      <c r="P23" s="147" t="s">
        <v>64</v>
      </c>
      <c r="Q23" s="147"/>
      <c r="R23" s="66"/>
      <c r="S23" s="66"/>
      <c r="T23" s="66"/>
      <c r="U23" s="66">
        <f t="shared" si="2"/>
        <v>0</v>
      </c>
      <c r="V23" s="70"/>
    </row>
    <row r="24" spans="2:22">
      <c r="B24" s="272" t="s">
        <v>65</v>
      </c>
      <c r="C24" s="147"/>
      <c r="D24" s="66"/>
      <c r="E24" s="66"/>
      <c r="F24" s="66">
        <f t="shared" si="0"/>
        <v>0</v>
      </c>
      <c r="G24" s="66"/>
      <c r="H24" s="147"/>
      <c r="I24" s="147" t="s">
        <v>66</v>
      </c>
      <c r="J24" s="147"/>
      <c r="K24" s="66" t="s">
        <v>179</v>
      </c>
      <c r="L24" s="66">
        <v>1</v>
      </c>
      <c r="M24" s="66">
        <f t="shared" si="1"/>
        <v>2</v>
      </c>
      <c r="N24" s="66"/>
      <c r="O24" s="147"/>
      <c r="P24" s="147" t="s">
        <v>67</v>
      </c>
      <c r="Q24" s="147"/>
      <c r="R24" s="66" t="s">
        <v>56</v>
      </c>
      <c r="S24" s="66"/>
      <c r="T24" s="66">
        <v>3</v>
      </c>
      <c r="U24" s="66">
        <f>S24+T24</f>
        <v>3</v>
      </c>
      <c r="V24" s="70"/>
    </row>
    <row r="25" spans="2:22">
      <c r="B25" s="272" t="s">
        <v>68</v>
      </c>
      <c r="C25" s="147"/>
      <c r="D25" s="66" t="s">
        <v>179</v>
      </c>
      <c r="E25" s="66">
        <v>3</v>
      </c>
      <c r="F25" s="66">
        <f t="shared" si="0"/>
        <v>6</v>
      </c>
      <c r="G25" s="66"/>
      <c r="H25" s="147"/>
      <c r="I25" s="147" t="s">
        <v>69</v>
      </c>
      <c r="J25" s="147"/>
      <c r="K25" s="66"/>
      <c r="L25" s="66"/>
      <c r="M25" s="66">
        <f t="shared" si="1"/>
        <v>0</v>
      </c>
      <c r="N25" s="66"/>
      <c r="O25" s="147"/>
      <c r="P25" s="147" t="s">
        <v>15</v>
      </c>
      <c r="Q25" s="147"/>
      <c r="R25" s="66" t="s">
        <v>56</v>
      </c>
      <c r="S25" s="66"/>
      <c r="T25" s="66">
        <v>7</v>
      </c>
      <c r="U25" s="66">
        <f>S25+T25</f>
        <v>7</v>
      </c>
      <c r="V25" s="71"/>
    </row>
    <row r="26" spans="2:22">
      <c r="B26" s="272"/>
      <c r="C26" s="147"/>
      <c r="D26" s="66"/>
      <c r="E26" s="66"/>
      <c r="F26" s="66">
        <f t="shared" si="0"/>
        <v>0</v>
      </c>
      <c r="G26" s="66"/>
      <c r="H26" s="147"/>
      <c r="I26" s="147"/>
      <c r="J26" s="147"/>
      <c r="K26" s="66"/>
      <c r="L26" s="66"/>
      <c r="M26" s="66">
        <f t="shared" si="1"/>
        <v>0</v>
      </c>
      <c r="N26" s="66"/>
      <c r="O26" s="147"/>
      <c r="P26" s="147" t="s">
        <v>72</v>
      </c>
      <c r="Q26" s="147"/>
      <c r="R26" s="66"/>
      <c r="S26" s="66"/>
      <c r="T26" s="66"/>
      <c r="U26" s="66">
        <f t="shared" si="2"/>
        <v>0</v>
      </c>
      <c r="V26" s="70"/>
    </row>
    <row r="27" spans="2:22">
      <c r="B27" s="272"/>
      <c r="C27" s="147"/>
      <c r="D27" s="66"/>
      <c r="E27" s="66"/>
      <c r="F27" s="66">
        <f t="shared" si="0"/>
        <v>0</v>
      </c>
      <c r="G27" s="66"/>
      <c r="H27" s="147"/>
      <c r="I27" s="147"/>
      <c r="J27" s="147"/>
      <c r="K27" s="66"/>
      <c r="L27" s="66"/>
      <c r="M27" s="66">
        <f t="shared" si="1"/>
        <v>0</v>
      </c>
      <c r="N27" s="66"/>
      <c r="O27" s="147"/>
      <c r="P27" s="147" t="s">
        <v>75</v>
      </c>
      <c r="Q27" s="147"/>
      <c r="R27" s="66"/>
      <c r="S27" s="66"/>
      <c r="T27" s="66"/>
      <c r="U27" s="66">
        <f t="shared" si="2"/>
        <v>0</v>
      </c>
      <c r="V27" s="70"/>
    </row>
    <row r="28" spans="2:22">
      <c r="B28" s="272"/>
      <c r="C28" s="147"/>
      <c r="D28" s="66"/>
      <c r="E28" s="66"/>
      <c r="F28" s="66">
        <f t="shared" si="0"/>
        <v>0</v>
      </c>
      <c r="G28" s="66"/>
      <c r="H28" s="147"/>
      <c r="I28" s="147"/>
      <c r="J28" s="147"/>
      <c r="K28" s="66"/>
      <c r="L28" s="66"/>
      <c r="M28" s="66">
        <f t="shared" si="1"/>
        <v>0</v>
      </c>
      <c r="N28" s="66"/>
      <c r="O28" s="147"/>
      <c r="P28" s="147" t="s">
        <v>77</v>
      </c>
      <c r="Q28" s="147"/>
      <c r="R28" s="66"/>
      <c r="S28" s="66"/>
      <c r="T28" s="66"/>
      <c r="U28" s="66">
        <f t="shared" si="2"/>
        <v>0</v>
      </c>
      <c r="V28" s="70"/>
    </row>
    <row r="29" spans="2:22">
      <c r="B29" s="272" t="s">
        <v>70</v>
      </c>
      <c r="C29" s="147"/>
      <c r="D29" s="66"/>
      <c r="E29" s="66">
        <v>4</v>
      </c>
      <c r="F29" s="66">
        <f t="shared" si="0"/>
        <v>4</v>
      </c>
      <c r="G29" s="66"/>
      <c r="H29" s="147"/>
      <c r="I29" s="283" t="s">
        <v>74</v>
      </c>
      <c r="J29" s="283"/>
      <c r="K29" s="283"/>
      <c r="L29" s="283"/>
      <c r="M29" s="283"/>
      <c r="N29" s="283"/>
      <c r="O29" s="147"/>
      <c r="P29" s="147" t="s">
        <v>80</v>
      </c>
      <c r="Q29" s="147"/>
      <c r="R29" s="66"/>
      <c r="S29" s="66"/>
      <c r="T29" s="66">
        <v>4</v>
      </c>
      <c r="U29" s="66">
        <f t="shared" si="2"/>
        <v>4</v>
      </c>
      <c r="V29" s="70"/>
    </row>
    <row r="30" spans="2:22">
      <c r="B30" s="272" t="s">
        <v>73</v>
      </c>
      <c r="C30" s="147"/>
      <c r="D30" s="66"/>
      <c r="E30" s="66">
        <v>3</v>
      </c>
      <c r="F30" s="66">
        <f t="shared" si="0"/>
        <v>3</v>
      </c>
      <c r="G30" s="66"/>
      <c r="H30" s="147"/>
      <c r="I30" s="147" t="s">
        <v>79</v>
      </c>
      <c r="J30" s="147"/>
      <c r="K30" s="66"/>
      <c r="L30" s="66"/>
      <c r="M30" s="66">
        <f>IF(K30=0,L30,L30*2)</f>
        <v>0</v>
      </c>
      <c r="N30" s="66"/>
      <c r="O30" s="147"/>
      <c r="P30" s="147" t="s">
        <v>83</v>
      </c>
      <c r="Q30" s="147"/>
      <c r="R30" s="66"/>
      <c r="S30" s="66"/>
      <c r="T30" s="66">
        <v>6</v>
      </c>
      <c r="U30" s="66">
        <f t="shared" si="2"/>
        <v>6</v>
      </c>
      <c r="V30" s="70"/>
    </row>
    <row r="31" spans="2:22">
      <c r="B31" s="272" t="s">
        <v>76</v>
      </c>
      <c r="C31" s="147"/>
      <c r="D31" s="66"/>
      <c r="E31" s="66"/>
      <c r="F31" s="66">
        <f t="shared" si="0"/>
        <v>0</v>
      </c>
      <c r="G31" s="66"/>
      <c r="H31" s="147"/>
      <c r="I31" s="147" t="s">
        <v>82</v>
      </c>
      <c r="J31" s="147"/>
      <c r="K31" s="66"/>
      <c r="L31" s="66"/>
      <c r="M31" s="66">
        <f t="shared" si="1"/>
        <v>0</v>
      </c>
      <c r="N31" s="66"/>
      <c r="O31" s="147"/>
      <c r="P31" s="147" t="s">
        <v>86</v>
      </c>
      <c r="Q31" s="147"/>
      <c r="R31" s="66"/>
      <c r="S31" s="66"/>
      <c r="T31" s="66"/>
      <c r="U31" s="66">
        <f t="shared" si="2"/>
        <v>0</v>
      </c>
      <c r="V31" s="70"/>
    </row>
    <row r="32" spans="2:22">
      <c r="B32" s="272" t="s">
        <v>78</v>
      </c>
      <c r="C32" s="147"/>
      <c r="D32" s="66"/>
      <c r="E32" s="66">
        <v>2</v>
      </c>
      <c r="F32" s="66">
        <f t="shared" si="0"/>
        <v>2</v>
      </c>
      <c r="G32" s="66"/>
      <c r="H32" s="147"/>
      <c r="I32" s="147" t="s">
        <v>85</v>
      </c>
      <c r="J32" s="147"/>
      <c r="K32" s="66"/>
      <c r="L32" s="66"/>
      <c r="M32" s="66">
        <f t="shared" si="1"/>
        <v>0</v>
      </c>
      <c r="N32" s="66"/>
      <c r="O32" s="147"/>
      <c r="P32" s="147" t="s">
        <v>7</v>
      </c>
      <c r="Q32" s="147"/>
      <c r="R32" s="66" t="s">
        <v>56</v>
      </c>
      <c r="S32" s="66"/>
      <c r="T32" s="66">
        <v>2</v>
      </c>
      <c r="U32" s="66">
        <f>S32+T32</f>
        <v>2</v>
      </c>
      <c r="V32" s="70"/>
    </row>
    <row r="33" spans="2:22">
      <c r="B33" s="272" t="s">
        <v>81</v>
      </c>
      <c r="C33" s="147"/>
      <c r="D33" s="66"/>
      <c r="E33" s="66"/>
      <c r="F33" s="66">
        <f t="shared" si="0"/>
        <v>0</v>
      </c>
      <c r="G33" s="66"/>
      <c r="H33" s="147"/>
      <c r="I33" s="147" t="s">
        <v>87</v>
      </c>
      <c r="J33" s="147"/>
      <c r="K33" s="66"/>
      <c r="L33" s="66"/>
      <c r="M33" s="66">
        <f t="shared" si="1"/>
        <v>0</v>
      </c>
      <c r="N33" s="66"/>
      <c r="O33" s="147"/>
      <c r="P33" s="147" t="s">
        <v>12</v>
      </c>
      <c r="Q33" s="147"/>
      <c r="R33" s="66" t="s">
        <v>56</v>
      </c>
      <c r="S33" s="66"/>
      <c r="T33" s="66">
        <v>5</v>
      </c>
      <c r="U33" s="66">
        <f>S33+T33</f>
        <v>5</v>
      </c>
      <c r="V33" s="70"/>
    </row>
    <row r="34" spans="2:22">
      <c r="B34" s="272" t="s">
        <v>84</v>
      </c>
      <c r="C34" s="147"/>
      <c r="D34" s="66"/>
      <c r="E34" s="66"/>
      <c r="F34" s="66">
        <f t="shared" si="0"/>
        <v>0</v>
      </c>
      <c r="G34" s="66"/>
      <c r="H34" s="147"/>
      <c r="I34" s="147" t="s">
        <v>88</v>
      </c>
      <c r="J34" s="147"/>
      <c r="K34" s="66" t="s">
        <v>179</v>
      </c>
      <c r="L34" s="66"/>
      <c r="M34" s="66">
        <f t="shared" si="1"/>
        <v>0</v>
      </c>
      <c r="N34" s="66"/>
      <c r="O34" s="147"/>
      <c r="P34" s="147" t="s">
        <v>90</v>
      </c>
      <c r="Q34" s="147"/>
      <c r="R34" s="66"/>
      <c r="S34" s="66"/>
      <c r="T34" s="66">
        <v>3</v>
      </c>
      <c r="U34" s="66">
        <f t="shared" si="2"/>
        <v>3</v>
      </c>
      <c r="V34" s="70"/>
    </row>
    <row r="35" spans="2:22">
      <c r="B35" s="272"/>
      <c r="C35" s="147"/>
      <c r="D35" s="66"/>
      <c r="E35" s="66"/>
      <c r="F35" s="66">
        <f t="shared" si="0"/>
        <v>0</v>
      </c>
      <c r="G35" s="66"/>
      <c r="H35" s="147"/>
      <c r="I35" s="147" t="s">
        <v>89</v>
      </c>
      <c r="J35" s="147"/>
      <c r="K35" s="66"/>
      <c r="L35" s="66"/>
      <c r="M35" s="66">
        <f t="shared" si="1"/>
        <v>0</v>
      </c>
      <c r="N35" s="66"/>
      <c r="O35" s="147"/>
      <c r="P35" s="147" t="s">
        <v>92</v>
      </c>
      <c r="Q35" s="147"/>
      <c r="R35" s="66"/>
      <c r="S35" s="66"/>
      <c r="T35" s="66">
        <v>8</v>
      </c>
      <c r="U35" s="66">
        <f t="shared" si="2"/>
        <v>8</v>
      </c>
      <c r="V35" s="70"/>
    </row>
    <row r="36" spans="2:22">
      <c r="B36" s="272"/>
      <c r="C36" s="147"/>
      <c r="D36" s="66"/>
      <c r="E36" s="66"/>
      <c r="F36" s="66">
        <f t="shared" si="0"/>
        <v>0</v>
      </c>
      <c r="G36" s="66"/>
      <c r="H36" s="147"/>
      <c r="I36" s="147" t="s">
        <v>91</v>
      </c>
      <c r="J36" s="147"/>
      <c r="K36" s="66"/>
      <c r="L36" s="66"/>
      <c r="M36" s="66">
        <f t="shared" si="1"/>
        <v>0</v>
      </c>
      <c r="N36" s="66"/>
      <c r="O36" s="147"/>
      <c r="P36" s="147" t="s">
        <v>94</v>
      </c>
      <c r="Q36" s="147"/>
      <c r="R36" s="66" t="s">
        <v>179</v>
      </c>
      <c r="S36" s="66"/>
      <c r="T36" s="66"/>
      <c r="U36" s="66">
        <f t="shared" si="2"/>
        <v>0</v>
      </c>
      <c r="V36" s="70"/>
    </row>
    <row r="37" spans="2:22">
      <c r="B37" s="272"/>
      <c r="C37" s="147"/>
      <c r="D37" s="66"/>
      <c r="E37" s="66"/>
      <c r="F37" s="66">
        <f t="shared" si="0"/>
        <v>0</v>
      </c>
      <c r="G37" s="66"/>
      <c r="H37" s="147"/>
      <c r="I37" s="147" t="s">
        <v>93</v>
      </c>
      <c r="J37" s="147"/>
      <c r="K37" s="66"/>
      <c r="L37" s="66"/>
      <c r="M37" s="66">
        <f t="shared" si="1"/>
        <v>0</v>
      </c>
      <c r="N37" s="66"/>
      <c r="O37" s="147"/>
      <c r="P37" s="147" t="s">
        <v>96</v>
      </c>
      <c r="Q37" s="147"/>
      <c r="R37" s="66"/>
      <c r="S37" s="66"/>
      <c r="T37" s="66">
        <v>4</v>
      </c>
      <c r="U37" s="66">
        <f t="shared" si="2"/>
        <v>4</v>
      </c>
      <c r="V37" s="70"/>
    </row>
    <row r="38" spans="2:22">
      <c r="B38" s="272"/>
      <c r="C38" s="147"/>
      <c r="D38" s="66"/>
      <c r="E38" s="66"/>
      <c r="F38" s="66">
        <f t="shared" si="0"/>
        <v>0</v>
      </c>
      <c r="G38" s="66"/>
      <c r="H38" s="147"/>
      <c r="I38" s="147" t="s">
        <v>95</v>
      </c>
      <c r="J38" s="147"/>
      <c r="K38" s="66"/>
      <c r="L38" s="66"/>
      <c r="M38" s="66">
        <f t="shared" si="1"/>
        <v>0</v>
      </c>
      <c r="N38" s="66"/>
      <c r="O38" s="147"/>
      <c r="P38" s="147" t="s">
        <v>98</v>
      </c>
      <c r="Q38" s="147"/>
      <c r="R38" s="66"/>
      <c r="S38" s="66"/>
      <c r="T38" s="66"/>
      <c r="U38" s="66">
        <f t="shared" si="2"/>
        <v>0</v>
      </c>
      <c r="V38" s="70"/>
    </row>
    <row r="39" spans="2:22">
      <c r="B39" s="272"/>
      <c r="C39" s="147"/>
      <c r="D39" s="66"/>
      <c r="E39" s="66"/>
      <c r="F39" s="66">
        <f t="shared" si="0"/>
        <v>0</v>
      </c>
      <c r="G39" s="66"/>
      <c r="H39" s="147"/>
      <c r="I39" s="147" t="s">
        <v>97</v>
      </c>
      <c r="J39" s="147"/>
      <c r="K39" s="66" t="s">
        <v>179</v>
      </c>
      <c r="L39" s="66">
        <v>1</v>
      </c>
      <c r="M39" s="66">
        <f t="shared" si="1"/>
        <v>2</v>
      </c>
      <c r="N39" s="66"/>
      <c r="O39" s="147"/>
      <c r="P39" s="147"/>
      <c r="Q39" s="147"/>
      <c r="R39" s="66"/>
      <c r="S39" s="66"/>
      <c r="T39" s="66"/>
      <c r="U39" s="66">
        <f t="shared" si="2"/>
        <v>0</v>
      </c>
      <c r="V39" s="70"/>
    </row>
    <row r="40" spans="2:22">
      <c r="B40" s="272"/>
      <c r="C40" s="147"/>
      <c r="D40" s="66"/>
      <c r="E40" s="66"/>
      <c r="F40" s="66">
        <f t="shared" si="0"/>
        <v>0</v>
      </c>
      <c r="G40" s="66"/>
      <c r="H40" s="147"/>
      <c r="I40" s="147" t="s">
        <v>180</v>
      </c>
      <c r="J40" s="147"/>
      <c r="K40" s="66"/>
      <c r="L40" s="66">
        <v>4</v>
      </c>
      <c r="M40" s="66">
        <f t="shared" si="1"/>
        <v>4</v>
      </c>
      <c r="N40" s="66"/>
      <c r="O40" s="147"/>
      <c r="P40" s="147"/>
      <c r="Q40" s="147"/>
      <c r="R40" s="66"/>
      <c r="S40" s="66"/>
      <c r="T40" s="66"/>
      <c r="U40" s="66">
        <f t="shared" si="2"/>
        <v>0</v>
      </c>
      <c r="V40" s="70"/>
    </row>
    <row r="41" spans="2:22">
      <c r="B41" s="281"/>
      <c r="C41" s="198"/>
      <c r="D41" s="68"/>
      <c r="E41" s="68"/>
      <c r="F41" s="68">
        <f t="shared" si="0"/>
        <v>0</v>
      </c>
      <c r="G41" s="68"/>
      <c r="H41" s="198"/>
      <c r="I41" s="198"/>
      <c r="J41" s="198"/>
      <c r="K41" s="68"/>
      <c r="L41" s="68"/>
      <c r="M41" s="68">
        <f t="shared" si="1"/>
        <v>0</v>
      </c>
      <c r="N41" s="68"/>
      <c r="O41" s="198"/>
      <c r="P41" s="198"/>
      <c r="Q41" s="198"/>
      <c r="R41" s="68"/>
      <c r="S41" s="68"/>
      <c r="T41" s="68"/>
      <c r="U41" s="68">
        <f t="shared" si="2"/>
        <v>0</v>
      </c>
      <c r="V41" s="72"/>
    </row>
    <row r="43" spans="2:22">
      <c r="B43" s="276" t="s">
        <v>110</v>
      </c>
      <c r="C43" s="277"/>
      <c r="D43" s="277"/>
      <c r="E43" s="277"/>
      <c r="F43" s="277"/>
      <c r="G43" s="277"/>
      <c r="H43" s="277"/>
      <c r="I43" s="277"/>
      <c r="J43" s="277"/>
      <c r="K43" s="277"/>
      <c r="L43" s="277" t="s">
        <v>181</v>
      </c>
      <c r="M43" s="277"/>
      <c r="N43" s="277"/>
      <c r="O43" s="277"/>
      <c r="P43" s="277"/>
      <c r="Q43" s="277"/>
      <c r="R43" s="277"/>
      <c r="S43" s="277"/>
      <c r="T43" s="277"/>
      <c r="U43" s="277"/>
      <c r="V43" s="282"/>
    </row>
    <row r="44" spans="2:22">
      <c r="B44" s="257" t="s">
        <v>182</v>
      </c>
      <c r="C44" s="258"/>
      <c r="D44" s="258"/>
      <c r="E44" s="258"/>
      <c r="F44" s="258"/>
      <c r="G44" s="258"/>
      <c r="H44" s="258"/>
      <c r="I44" s="258"/>
      <c r="J44" s="258"/>
      <c r="K44" s="258"/>
      <c r="L44" s="258" t="s">
        <v>183</v>
      </c>
      <c r="M44" s="258"/>
      <c r="N44" s="258"/>
      <c r="O44" s="258"/>
      <c r="P44" s="258"/>
      <c r="Q44" s="258"/>
      <c r="R44" s="258"/>
      <c r="S44" s="258"/>
      <c r="T44" s="258"/>
      <c r="U44" s="258"/>
      <c r="V44" s="261"/>
    </row>
    <row r="45" spans="2:22">
      <c r="B45" s="257"/>
      <c r="C45" s="258"/>
      <c r="D45" s="258"/>
      <c r="E45" s="258"/>
      <c r="F45" s="258"/>
      <c r="G45" s="258"/>
      <c r="H45" s="258"/>
      <c r="I45" s="258"/>
      <c r="J45" s="258"/>
      <c r="K45" s="258"/>
      <c r="L45" s="258"/>
      <c r="M45" s="258"/>
      <c r="N45" s="258"/>
      <c r="O45" s="258"/>
      <c r="P45" s="258"/>
      <c r="Q45" s="258"/>
      <c r="R45" s="258"/>
      <c r="S45" s="258"/>
      <c r="T45" s="258"/>
      <c r="U45" s="258"/>
      <c r="V45" s="261"/>
    </row>
    <row r="46" spans="2:22">
      <c r="B46" s="257"/>
      <c r="C46" s="258"/>
      <c r="D46" s="258"/>
      <c r="E46" s="258"/>
      <c r="F46" s="258"/>
      <c r="G46" s="258"/>
      <c r="H46" s="258"/>
      <c r="I46" s="258"/>
      <c r="J46" s="258"/>
      <c r="K46" s="258"/>
      <c r="L46" s="258"/>
      <c r="M46" s="258"/>
      <c r="N46" s="258"/>
      <c r="O46" s="258"/>
      <c r="P46" s="258"/>
      <c r="Q46" s="258"/>
      <c r="R46" s="258"/>
      <c r="S46" s="258"/>
      <c r="T46" s="258"/>
      <c r="U46" s="258"/>
      <c r="V46" s="261"/>
    </row>
    <row r="47" spans="2:22">
      <c r="B47" s="257"/>
      <c r="C47" s="258"/>
      <c r="D47" s="258"/>
      <c r="E47" s="258"/>
      <c r="F47" s="258"/>
      <c r="G47" s="258"/>
      <c r="H47" s="258"/>
      <c r="I47" s="258"/>
      <c r="J47" s="258"/>
      <c r="K47" s="258"/>
      <c r="L47" s="258"/>
      <c r="M47" s="258"/>
      <c r="N47" s="258"/>
      <c r="O47" s="258"/>
      <c r="P47" s="258"/>
      <c r="Q47" s="258"/>
      <c r="R47" s="258"/>
      <c r="S47" s="258"/>
      <c r="T47" s="258"/>
      <c r="U47" s="258"/>
      <c r="V47" s="261"/>
    </row>
    <row r="48" spans="2:22">
      <c r="B48" s="257"/>
      <c r="C48" s="258"/>
      <c r="D48" s="258"/>
      <c r="E48" s="258"/>
      <c r="F48" s="258"/>
      <c r="G48" s="258"/>
      <c r="H48" s="258"/>
      <c r="I48" s="258"/>
      <c r="J48" s="258"/>
      <c r="K48" s="258"/>
      <c r="L48" s="258"/>
      <c r="M48" s="258"/>
      <c r="N48" s="258"/>
      <c r="O48" s="258"/>
      <c r="P48" s="258"/>
      <c r="Q48" s="258"/>
      <c r="R48" s="258"/>
      <c r="S48" s="258"/>
      <c r="T48" s="258"/>
      <c r="U48" s="258"/>
      <c r="V48" s="261"/>
    </row>
    <row r="49" spans="2:22">
      <c r="B49" s="257"/>
      <c r="C49" s="258"/>
      <c r="D49" s="258"/>
      <c r="E49" s="258"/>
      <c r="F49" s="258"/>
      <c r="G49" s="258"/>
      <c r="H49" s="258"/>
      <c r="I49" s="258"/>
      <c r="J49" s="258"/>
      <c r="K49" s="258"/>
      <c r="L49" s="258"/>
      <c r="M49" s="258"/>
      <c r="N49" s="258"/>
      <c r="O49" s="258"/>
      <c r="P49" s="258"/>
      <c r="Q49" s="258"/>
      <c r="R49" s="258"/>
      <c r="S49" s="258"/>
      <c r="T49" s="258"/>
      <c r="U49" s="258"/>
      <c r="V49" s="261"/>
    </row>
    <row r="50" spans="2:22">
      <c r="B50" s="259"/>
      <c r="C50" s="260"/>
      <c r="D50" s="260"/>
      <c r="E50" s="260"/>
      <c r="F50" s="260"/>
      <c r="G50" s="260"/>
      <c r="H50" s="260"/>
      <c r="I50" s="260"/>
      <c r="J50" s="260"/>
      <c r="K50" s="260"/>
      <c r="L50" s="260"/>
      <c r="M50" s="260"/>
      <c r="N50" s="260"/>
      <c r="O50" s="260"/>
      <c r="P50" s="260"/>
      <c r="Q50" s="260"/>
      <c r="R50" s="260"/>
      <c r="S50" s="260"/>
      <c r="T50" s="260"/>
      <c r="U50" s="260"/>
      <c r="V50" s="262"/>
    </row>
  </sheetData>
  <mergeCells count="122">
    <mergeCell ref="B2:C2"/>
    <mergeCell ref="D2:G2"/>
    <mergeCell ref="B3:C3"/>
    <mergeCell ref="D3:G3"/>
    <mergeCell ref="B4:C4"/>
    <mergeCell ref="D4:G4"/>
    <mergeCell ref="B5:C5"/>
    <mergeCell ref="D5:G5"/>
    <mergeCell ref="D6:G6"/>
    <mergeCell ref="D7:G7"/>
    <mergeCell ref="D8:G8"/>
    <mergeCell ref="D9:G9"/>
    <mergeCell ref="B10:C10"/>
    <mergeCell ref="D10:E10"/>
    <mergeCell ref="B11:C11"/>
    <mergeCell ref="D11:E11"/>
    <mergeCell ref="B13:G13"/>
    <mergeCell ref="I13:N13"/>
    <mergeCell ref="P13:V13"/>
    <mergeCell ref="B14:C14"/>
    <mergeCell ref="I14:J14"/>
    <mergeCell ref="P14:Q14"/>
    <mergeCell ref="B15:C15"/>
    <mergeCell ref="I15:J15"/>
    <mergeCell ref="P15:Q15"/>
    <mergeCell ref="B16:C16"/>
    <mergeCell ref="I16:J16"/>
    <mergeCell ref="P16:Q16"/>
    <mergeCell ref="B17:C17"/>
    <mergeCell ref="I17:J17"/>
    <mergeCell ref="P17:Q17"/>
    <mergeCell ref="B18:C18"/>
    <mergeCell ref="I18:J18"/>
    <mergeCell ref="P18:Q18"/>
    <mergeCell ref="B19:C19"/>
    <mergeCell ref="I19:J19"/>
    <mergeCell ref="P19:Q19"/>
    <mergeCell ref="B20:C20"/>
    <mergeCell ref="I20:J20"/>
    <mergeCell ref="P20:Q20"/>
    <mergeCell ref="B21:C21"/>
    <mergeCell ref="I21:J21"/>
    <mergeCell ref="P21:Q21"/>
    <mergeCell ref="B22:C22"/>
    <mergeCell ref="I22:J22"/>
    <mergeCell ref="P22:Q22"/>
    <mergeCell ref="B23:C23"/>
    <mergeCell ref="I23:J23"/>
    <mergeCell ref="P23:Q23"/>
    <mergeCell ref="B24:C24"/>
    <mergeCell ref="I24:J24"/>
    <mergeCell ref="P24:Q24"/>
    <mergeCell ref="B25:C25"/>
    <mergeCell ref="I25:J25"/>
    <mergeCell ref="P25:Q25"/>
    <mergeCell ref="B26:C26"/>
    <mergeCell ref="I26:J26"/>
    <mergeCell ref="P26:Q26"/>
    <mergeCell ref="B27:C27"/>
    <mergeCell ref="I27:J27"/>
    <mergeCell ref="P27:Q27"/>
    <mergeCell ref="B28:C28"/>
    <mergeCell ref="I28:J28"/>
    <mergeCell ref="P28:Q28"/>
    <mergeCell ref="B29:C29"/>
    <mergeCell ref="I29:N29"/>
    <mergeCell ref="P29:Q29"/>
    <mergeCell ref="B30:C30"/>
    <mergeCell ref="I30:J30"/>
    <mergeCell ref="P30:Q30"/>
    <mergeCell ref="B31:C31"/>
    <mergeCell ref="I31:J31"/>
    <mergeCell ref="P31:Q31"/>
    <mergeCell ref="B32:C32"/>
    <mergeCell ref="I32:J32"/>
    <mergeCell ref="P32:Q32"/>
    <mergeCell ref="B33:C33"/>
    <mergeCell ref="I33:J33"/>
    <mergeCell ref="P33:Q33"/>
    <mergeCell ref="B34:C34"/>
    <mergeCell ref="I34:J34"/>
    <mergeCell ref="P34:Q34"/>
    <mergeCell ref="P38:Q38"/>
    <mergeCell ref="B39:C39"/>
    <mergeCell ref="I39:J39"/>
    <mergeCell ref="P39:Q39"/>
    <mergeCell ref="B40:C40"/>
    <mergeCell ref="I40:J40"/>
    <mergeCell ref="P40:Q40"/>
    <mergeCell ref="B35:C35"/>
    <mergeCell ref="I35:J35"/>
    <mergeCell ref="P35:Q35"/>
    <mergeCell ref="B36:C36"/>
    <mergeCell ref="I36:J36"/>
    <mergeCell ref="P36:Q36"/>
    <mergeCell ref="B37:C37"/>
    <mergeCell ref="I37:J37"/>
    <mergeCell ref="P37:Q37"/>
    <mergeCell ref="B44:K50"/>
    <mergeCell ref="L44:V50"/>
    <mergeCell ref="P2:V11"/>
    <mergeCell ref="I4:J5"/>
    <mergeCell ref="K4:L5"/>
    <mergeCell ref="M4:N5"/>
    <mergeCell ref="I6:J7"/>
    <mergeCell ref="K6:L7"/>
    <mergeCell ref="M6:N7"/>
    <mergeCell ref="I2:J3"/>
    <mergeCell ref="K2:L3"/>
    <mergeCell ref="M2:N3"/>
    <mergeCell ref="B41:C41"/>
    <mergeCell ref="I41:J41"/>
    <mergeCell ref="P41:Q41"/>
    <mergeCell ref="B43:K43"/>
    <mergeCell ref="L43:V43"/>
    <mergeCell ref="H13:H41"/>
    <mergeCell ref="O13:O41"/>
    <mergeCell ref="B6:C9"/>
    <mergeCell ref="I8:J11"/>
    <mergeCell ref="K8:N11"/>
    <mergeCell ref="B38:C38"/>
    <mergeCell ref="I38:J38"/>
  </mergeCells>
  <phoneticPr fontId="21" type="noConversion"/>
  <dataValidations count="1">
    <dataValidation allowBlank="1" showErrorMessage="1" prompt="看啥呢！赶紧自己算出来啊！" sqref="G10:G11"/>
  </dataValidations>
  <pageMargins left="0.69930555555555596" right="0.69930555555555596" top="0.75" bottom="0.75" header="0.3" footer="0.3"/>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7"/>
  <sheetViews>
    <sheetView showGridLines="0" workbookViewId="0">
      <selection activeCell="O5" sqref="O5"/>
    </sheetView>
  </sheetViews>
  <sheetFormatPr defaultColWidth="8.875" defaultRowHeight="13.5"/>
  <cols>
    <col min="1" max="1" width="8.875" style="43"/>
    <col min="2" max="2" width="15.25" style="43" customWidth="1"/>
    <col min="3" max="3" width="2.875" style="43" customWidth="1"/>
    <col min="4" max="4" width="1.875" style="43" customWidth="1"/>
    <col min="5" max="5" width="5.125" style="43" customWidth="1"/>
    <col min="6" max="16384" width="8.875" style="43"/>
  </cols>
  <sheetData>
    <row r="1" spans="1:22">
      <c r="B1" s="44" t="s">
        <v>117</v>
      </c>
      <c r="C1" s="292" t="s">
        <v>50</v>
      </c>
      <c r="D1" s="292"/>
      <c r="E1" s="292"/>
      <c r="F1" s="45" t="s">
        <v>118</v>
      </c>
    </row>
    <row r="2" spans="1:22">
      <c r="A2" s="43">
        <v>0</v>
      </c>
      <c r="B2" s="44"/>
      <c r="C2" s="46"/>
      <c r="D2" s="46"/>
      <c r="E2" s="46"/>
      <c r="F2" s="45" t="s">
        <v>184</v>
      </c>
      <c r="G2" s="45" t="s">
        <v>184</v>
      </c>
      <c r="H2" s="45" t="s">
        <v>184</v>
      </c>
      <c r="I2" s="45" t="s">
        <v>184</v>
      </c>
      <c r="J2" s="45" t="s">
        <v>184</v>
      </c>
      <c r="K2" s="45" t="s">
        <v>184</v>
      </c>
      <c r="L2" s="45" t="s">
        <v>184</v>
      </c>
      <c r="M2" s="45" t="s">
        <v>184</v>
      </c>
      <c r="N2" s="45" t="s">
        <v>184</v>
      </c>
      <c r="O2" s="45" t="s">
        <v>184</v>
      </c>
      <c r="P2" s="57"/>
    </row>
    <row r="3" spans="1:22">
      <c r="A3" s="43">
        <v>1</v>
      </c>
      <c r="B3" s="44" t="s">
        <v>122</v>
      </c>
      <c r="C3" s="47">
        <v>3</v>
      </c>
      <c r="D3" s="44" t="s">
        <v>185</v>
      </c>
      <c r="E3" s="48">
        <v>4</v>
      </c>
      <c r="F3" s="49" t="s">
        <v>52</v>
      </c>
      <c r="G3" s="49" t="s">
        <v>68</v>
      </c>
      <c r="H3" s="49" t="s">
        <v>73</v>
      </c>
      <c r="I3" s="49" t="s">
        <v>76</v>
      </c>
      <c r="J3" s="49" t="s">
        <v>95</v>
      </c>
      <c r="K3" s="49" t="s">
        <v>83</v>
      </c>
      <c r="L3" s="49" t="s">
        <v>38</v>
      </c>
      <c r="M3" s="49" t="s">
        <v>99</v>
      </c>
      <c r="N3" s="49" t="s">
        <v>99</v>
      </c>
      <c r="O3" s="49" t="s">
        <v>184</v>
      </c>
      <c r="P3" s="58"/>
      <c r="T3" s="61" t="s">
        <v>186</v>
      </c>
      <c r="U3" s="61" t="s">
        <v>187</v>
      </c>
      <c r="V3" s="61" t="s">
        <v>106</v>
      </c>
    </row>
    <row r="4" spans="1:22" ht="16.5">
      <c r="A4" s="43">
        <v>2</v>
      </c>
      <c r="B4" s="44" t="s">
        <v>124</v>
      </c>
      <c r="C4" s="47">
        <v>2</v>
      </c>
      <c r="D4" s="44" t="s">
        <v>185</v>
      </c>
      <c r="E4" s="48">
        <v>5</v>
      </c>
      <c r="F4" s="49" t="s">
        <v>46</v>
      </c>
      <c r="G4" s="49" t="s">
        <v>49</v>
      </c>
      <c r="H4" s="49" t="s">
        <v>41</v>
      </c>
      <c r="I4" s="49" t="s">
        <v>65</v>
      </c>
      <c r="J4" s="49" t="s">
        <v>68</v>
      </c>
      <c r="K4" s="49" t="s">
        <v>70</v>
      </c>
      <c r="L4" s="49" t="s">
        <v>73</v>
      </c>
      <c r="M4" s="49" t="s">
        <v>35</v>
      </c>
      <c r="N4" s="49" t="s">
        <v>184</v>
      </c>
      <c r="O4" s="49" t="s">
        <v>184</v>
      </c>
      <c r="P4" s="58"/>
      <c r="T4" s="62">
        <v>1</v>
      </c>
      <c r="U4" s="63" t="e">
        <f>LOOKUP(人物卡!$E$6,职业!$A$3:$A$25,职业!F$3:F$25)</f>
        <v>#N/A</v>
      </c>
      <c r="V4" s="62">
        <v>1</v>
      </c>
    </row>
    <row r="5" spans="1:22" ht="16.5">
      <c r="A5" s="43">
        <v>3</v>
      </c>
      <c r="B5" s="44" t="s">
        <v>126</v>
      </c>
      <c r="C5" s="47">
        <v>4</v>
      </c>
      <c r="D5" s="44" t="s">
        <v>185</v>
      </c>
      <c r="E5" s="48">
        <v>5</v>
      </c>
      <c r="F5" s="49" t="s">
        <v>43</v>
      </c>
      <c r="G5" s="49" t="s">
        <v>39</v>
      </c>
      <c r="H5" s="49" t="s">
        <v>88</v>
      </c>
      <c r="I5" s="49" t="s">
        <v>64</v>
      </c>
      <c r="J5" s="49" t="s">
        <v>65</v>
      </c>
      <c r="K5" s="49" t="s">
        <v>68</v>
      </c>
      <c r="L5" s="49" t="s">
        <v>73</v>
      </c>
      <c r="M5" s="49" t="s">
        <v>35</v>
      </c>
      <c r="N5" s="49" t="s">
        <v>35</v>
      </c>
      <c r="O5" s="49" t="s">
        <v>86</v>
      </c>
      <c r="P5" s="58"/>
      <c r="T5" s="62">
        <v>2</v>
      </c>
      <c r="U5" s="63" t="e">
        <f>LOOKUP(人物卡!$E$6,职业!$A$3:$A$25,职业!G$3:G$25)</f>
        <v>#N/A</v>
      </c>
      <c r="V5" s="62">
        <v>1</v>
      </c>
    </row>
    <row r="6" spans="1:22" ht="16.5">
      <c r="A6" s="43">
        <v>4</v>
      </c>
      <c r="B6" s="44" t="s">
        <v>128</v>
      </c>
      <c r="C6" s="47">
        <v>1</v>
      </c>
      <c r="D6" s="44" t="s">
        <v>185</v>
      </c>
      <c r="E6" s="48">
        <v>4</v>
      </c>
      <c r="F6" s="49" t="s">
        <v>46</v>
      </c>
      <c r="G6" s="49" t="s">
        <v>49</v>
      </c>
      <c r="H6" s="49" t="s">
        <v>79</v>
      </c>
      <c r="I6" s="49" t="s">
        <v>87</v>
      </c>
      <c r="J6" s="54" t="s">
        <v>45</v>
      </c>
      <c r="K6" s="49" t="s">
        <v>53</v>
      </c>
      <c r="L6" s="49" t="s">
        <v>97</v>
      </c>
      <c r="M6" s="49" t="s">
        <v>38</v>
      </c>
      <c r="N6" s="49" t="s">
        <v>101</v>
      </c>
      <c r="O6" s="49" t="s">
        <v>101</v>
      </c>
      <c r="P6" s="58"/>
      <c r="T6" s="62">
        <v>3</v>
      </c>
      <c r="U6" s="63" t="e">
        <f>LOOKUP(人物卡!$E$6,职业!$A$3:$A$25,职业!H$3:H$25)</f>
        <v>#N/A</v>
      </c>
      <c r="V6" s="62">
        <v>1</v>
      </c>
    </row>
    <row r="7" spans="1:22" ht="16.5">
      <c r="A7" s="43">
        <v>5</v>
      </c>
      <c r="B7" s="44" t="s">
        <v>130</v>
      </c>
      <c r="C7" s="47">
        <v>1</v>
      </c>
      <c r="D7" s="44" t="s">
        <v>185</v>
      </c>
      <c r="E7" s="48">
        <v>3</v>
      </c>
      <c r="F7" s="49" t="s">
        <v>79</v>
      </c>
      <c r="G7" s="49" t="s">
        <v>65</v>
      </c>
      <c r="H7" s="49" t="s">
        <v>68</v>
      </c>
      <c r="I7" s="49" t="s">
        <v>73</v>
      </c>
      <c r="J7" s="49" t="s">
        <v>63</v>
      </c>
      <c r="K7" s="49" t="s">
        <v>38</v>
      </c>
      <c r="L7" s="49" t="s">
        <v>103</v>
      </c>
      <c r="M7" s="49" t="s">
        <v>103</v>
      </c>
      <c r="N7" s="49" t="s">
        <v>103</v>
      </c>
      <c r="O7" s="49" t="s">
        <v>184</v>
      </c>
      <c r="P7" s="58"/>
      <c r="T7" s="62">
        <v>4</v>
      </c>
      <c r="U7" s="63" t="e">
        <f>LOOKUP(人物卡!$E$6,职业!$A$3:$A$25,职业!I$3:I$25)</f>
        <v>#N/A</v>
      </c>
      <c r="V7" s="62">
        <v>1</v>
      </c>
    </row>
    <row r="8" spans="1:22" ht="16.5">
      <c r="A8" s="43">
        <v>6</v>
      </c>
      <c r="B8" s="44" t="s">
        <v>132</v>
      </c>
      <c r="C8" s="47">
        <v>2</v>
      </c>
      <c r="D8" s="44" t="s">
        <v>185</v>
      </c>
      <c r="E8" s="48">
        <v>5</v>
      </c>
      <c r="F8" s="49" t="s">
        <v>65</v>
      </c>
      <c r="G8" s="49" t="s">
        <v>68</v>
      </c>
      <c r="H8" s="49" t="s">
        <v>73</v>
      </c>
      <c r="I8" s="49" t="s">
        <v>83</v>
      </c>
      <c r="J8" s="49" t="s">
        <v>38</v>
      </c>
      <c r="K8" s="49" t="s">
        <v>66</v>
      </c>
      <c r="L8" s="49" t="s">
        <v>84</v>
      </c>
      <c r="M8" s="49" t="s">
        <v>99</v>
      </c>
      <c r="N8" s="49" t="s">
        <v>184</v>
      </c>
      <c r="O8" s="49" t="s">
        <v>184</v>
      </c>
      <c r="P8" s="58"/>
      <c r="T8" s="62">
        <v>5</v>
      </c>
      <c r="U8" s="63" t="e">
        <f>LOOKUP(人物卡!$E$6,职业!$A$3:$A$25,职业!J$3:J$25)</f>
        <v>#N/A</v>
      </c>
      <c r="V8" s="62">
        <v>1</v>
      </c>
    </row>
    <row r="9" spans="1:22" ht="16.5">
      <c r="A9" s="43">
        <v>7</v>
      </c>
      <c r="B9" s="44" t="s">
        <v>134</v>
      </c>
      <c r="C9" s="47">
        <v>0</v>
      </c>
      <c r="D9" s="44" t="s">
        <v>185</v>
      </c>
      <c r="E9" s="48">
        <v>4</v>
      </c>
      <c r="F9" s="49" t="s">
        <v>41</v>
      </c>
      <c r="G9" s="49" t="s">
        <v>60</v>
      </c>
      <c r="H9" s="49" t="s">
        <v>91</v>
      </c>
      <c r="I9" s="49" t="s">
        <v>90</v>
      </c>
      <c r="J9" s="49" t="s">
        <v>92</v>
      </c>
      <c r="K9" s="56" t="s">
        <v>94</v>
      </c>
      <c r="L9" s="49" t="s">
        <v>96</v>
      </c>
      <c r="M9" s="49" t="s">
        <v>69</v>
      </c>
      <c r="N9" s="49" t="s">
        <v>102</v>
      </c>
      <c r="O9" s="49" t="s">
        <v>184</v>
      </c>
      <c r="P9" s="58"/>
      <c r="Q9" s="54"/>
      <c r="R9" s="64"/>
      <c r="T9" s="62">
        <v>6</v>
      </c>
      <c r="U9" s="63" t="e">
        <f>LOOKUP(人物卡!$E$6,职业!$A$3:$A$25,职业!K$3:K$25)</f>
        <v>#N/A</v>
      </c>
      <c r="V9" s="62">
        <v>1</v>
      </c>
    </row>
    <row r="10" spans="1:22" ht="16.5">
      <c r="A10" s="43">
        <v>8</v>
      </c>
      <c r="B10" s="44" t="s">
        <v>136</v>
      </c>
      <c r="C10" s="47">
        <v>3</v>
      </c>
      <c r="D10" s="107" t="s">
        <v>188</v>
      </c>
      <c r="E10" s="48"/>
      <c r="F10" s="49" t="s">
        <v>50</v>
      </c>
      <c r="G10" s="49" t="s">
        <v>53</v>
      </c>
      <c r="H10" s="49" t="s">
        <v>86</v>
      </c>
      <c r="I10" s="49" t="s">
        <v>103</v>
      </c>
      <c r="J10" s="49" t="s">
        <v>103</v>
      </c>
      <c r="K10" s="49" t="s">
        <v>103</v>
      </c>
      <c r="L10" s="49" t="s">
        <v>103</v>
      </c>
      <c r="M10" s="49" t="s">
        <v>103</v>
      </c>
      <c r="N10" s="49" t="s">
        <v>184</v>
      </c>
      <c r="O10" s="49" t="s">
        <v>184</v>
      </c>
      <c r="P10" s="58"/>
      <c r="T10" s="62">
        <v>7</v>
      </c>
      <c r="U10" s="63" t="e">
        <f>LOOKUP(人物卡!$E$6,职业!$A$3:$A$25,职业!L$3:L$25)</f>
        <v>#N/A</v>
      </c>
      <c r="V10" s="62">
        <v>1</v>
      </c>
    </row>
    <row r="11" spans="1:22" ht="16.5">
      <c r="A11" s="43">
        <v>9</v>
      </c>
      <c r="B11" s="44" t="s">
        <v>138</v>
      </c>
      <c r="C11" s="47">
        <v>4</v>
      </c>
      <c r="D11" s="44" t="s">
        <v>185</v>
      </c>
      <c r="E11" s="48">
        <v>6</v>
      </c>
      <c r="F11" s="49" t="s">
        <v>37</v>
      </c>
      <c r="G11" s="49" t="s">
        <v>52</v>
      </c>
      <c r="H11" s="49" t="s">
        <v>64</v>
      </c>
      <c r="I11" s="49" t="s">
        <v>89</v>
      </c>
      <c r="J11" s="49" t="s">
        <v>68</v>
      </c>
      <c r="K11" s="49" t="s">
        <v>76</v>
      </c>
      <c r="L11" s="49" t="s">
        <v>189</v>
      </c>
      <c r="M11" s="49" t="s">
        <v>38</v>
      </c>
      <c r="N11" s="49" t="s">
        <v>66</v>
      </c>
      <c r="O11" s="49" t="s">
        <v>184</v>
      </c>
      <c r="T11" s="62">
        <v>8</v>
      </c>
      <c r="U11" s="63" t="e">
        <f>LOOKUP(人物卡!$E$6,职业!$A$3:$A$25,职业!M$3:M$25)</f>
        <v>#N/A</v>
      </c>
      <c r="V11" s="62">
        <v>1</v>
      </c>
    </row>
    <row r="12" spans="1:22" ht="16.5">
      <c r="A12" s="43">
        <v>10</v>
      </c>
      <c r="B12" s="44" t="s">
        <v>140</v>
      </c>
      <c r="C12" s="47">
        <v>0</v>
      </c>
      <c r="D12" s="50"/>
      <c r="E12" s="51"/>
      <c r="F12" s="52" t="s">
        <v>39</v>
      </c>
      <c r="G12" s="53" t="s">
        <v>41</v>
      </c>
      <c r="H12" s="53" t="s">
        <v>58</v>
      </c>
      <c r="I12" s="53" t="s">
        <v>93</v>
      </c>
      <c r="J12" s="53" t="s">
        <v>92</v>
      </c>
      <c r="K12" s="53" t="s">
        <v>96</v>
      </c>
      <c r="L12" s="53" t="s">
        <v>69</v>
      </c>
      <c r="M12" s="49" t="s">
        <v>184</v>
      </c>
      <c r="N12" s="49" t="s">
        <v>184</v>
      </c>
      <c r="O12" s="49" t="s">
        <v>184</v>
      </c>
      <c r="T12" s="65">
        <v>9</v>
      </c>
      <c r="U12" s="63" t="e">
        <f>LOOKUP(人物卡!$E$6,职业!$A$3:$A$25,职业!N$3:N$25)</f>
        <v>#N/A</v>
      </c>
      <c r="V12" s="62">
        <v>1</v>
      </c>
    </row>
    <row r="13" spans="1:22" ht="16.5">
      <c r="A13" s="43">
        <v>11</v>
      </c>
      <c r="B13" s="44" t="s">
        <v>142</v>
      </c>
      <c r="C13" s="47">
        <v>2</v>
      </c>
      <c r="D13" s="44" t="s">
        <v>185</v>
      </c>
      <c r="E13" s="48">
        <v>4</v>
      </c>
      <c r="F13" s="52" t="s">
        <v>47</v>
      </c>
      <c r="G13" s="54" t="s">
        <v>45</v>
      </c>
      <c r="H13" s="53" t="s">
        <v>88</v>
      </c>
      <c r="I13" s="53" t="s">
        <v>68</v>
      </c>
      <c r="J13" s="53" t="s">
        <v>190</v>
      </c>
      <c r="K13" s="53" t="s">
        <v>97</v>
      </c>
      <c r="L13" s="53" t="s">
        <v>38</v>
      </c>
      <c r="M13" s="53" t="s">
        <v>66</v>
      </c>
      <c r="N13" s="56" t="s">
        <v>94</v>
      </c>
      <c r="O13" s="52" t="s">
        <v>99</v>
      </c>
      <c r="P13" s="58"/>
      <c r="T13" s="65">
        <v>10</v>
      </c>
      <c r="U13" s="63" t="e">
        <f>LOOKUP(人物卡!$E$6,职业!$A$3:$A$25,职业!O$3:O$25)</f>
        <v>#N/A</v>
      </c>
      <c r="V13" s="62">
        <v>1</v>
      </c>
    </row>
    <row r="14" spans="1:22">
      <c r="A14" s="43">
        <v>12</v>
      </c>
      <c r="B14" s="44" t="s">
        <v>144</v>
      </c>
      <c r="C14" s="47">
        <v>2</v>
      </c>
      <c r="D14" s="44" t="s">
        <v>185</v>
      </c>
      <c r="E14" s="55">
        <v>4</v>
      </c>
      <c r="F14" s="52" t="s">
        <v>39</v>
      </c>
      <c r="G14" s="53" t="s">
        <v>61</v>
      </c>
      <c r="H14" s="53" t="s">
        <v>60</v>
      </c>
      <c r="I14" s="53" t="s">
        <v>93</v>
      </c>
      <c r="J14" s="53" t="s">
        <v>90</v>
      </c>
      <c r="K14" s="53" t="s">
        <v>98</v>
      </c>
      <c r="L14" s="52" t="s">
        <v>184</v>
      </c>
      <c r="M14" s="49" t="s">
        <v>184</v>
      </c>
      <c r="N14" s="49" t="s">
        <v>184</v>
      </c>
      <c r="O14" s="49" t="s">
        <v>184</v>
      </c>
      <c r="P14" s="58" t="s">
        <v>191</v>
      </c>
    </row>
    <row r="15" spans="1:22">
      <c r="A15" s="43">
        <v>13</v>
      </c>
      <c r="B15" s="44" t="s">
        <v>146</v>
      </c>
      <c r="C15" s="47">
        <v>2</v>
      </c>
      <c r="D15" s="44" t="s">
        <v>185</v>
      </c>
      <c r="E15" s="55">
        <v>4</v>
      </c>
      <c r="F15" s="52" t="s">
        <v>39</v>
      </c>
      <c r="G15" s="53" t="s">
        <v>61</v>
      </c>
      <c r="H15" s="53" t="s">
        <v>60</v>
      </c>
      <c r="I15" s="53" t="s">
        <v>93</v>
      </c>
      <c r="J15" s="53" t="s">
        <v>90</v>
      </c>
      <c r="K15" s="53" t="s">
        <v>98</v>
      </c>
      <c r="L15" s="52" t="s">
        <v>64</v>
      </c>
      <c r="M15" s="59" t="s">
        <v>76</v>
      </c>
      <c r="N15" s="59" t="s">
        <v>66</v>
      </c>
      <c r="O15" s="59" t="s">
        <v>184</v>
      </c>
      <c r="P15" s="58"/>
    </row>
    <row r="16" spans="1:22" ht="16.5">
      <c r="A16" s="43">
        <v>14</v>
      </c>
      <c r="B16" s="44" t="s">
        <v>148</v>
      </c>
      <c r="C16" s="47">
        <v>2</v>
      </c>
      <c r="D16" s="44" t="s">
        <v>185</v>
      </c>
      <c r="E16" s="55">
        <v>4</v>
      </c>
      <c r="F16" s="52" t="s">
        <v>39</v>
      </c>
      <c r="G16" s="53" t="s">
        <v>61</v>
      </c>
      <c r="H16" s="53" t="s">
        <v>60</v>
      </c>
      <c r="I16" s="53" t="s">
        <v>93</v>
      </c>
      <c r="J16" s="53" t="s">
        <v>90</v>
      </c>
      <c r="K16" s="53" t="s">
        <v>98</v>
      </c>
      <c r="L16" s="56" t="s">
        <v>48</v>
      </c>
      <c r="M16" s="59" t="s">
        <v>54</v>
      </c>
      <c r="N16" s="59" t="s">
        <v>75</v>
      </c>
      <c r="O16" s="59" t="s">
        <v>184</v>
      </c>
      <c r="P16" s="58"/>
    </row>
    <row r="17" spans="1:16">
      <c r="A17" s="43">
        <v>15</v>
      </c>
      <c r="B17" s="44" t="s">
        <v>150</v>
      </c>
      <c r="C17" s="47">
        <v>2</v>
      </c>
      <c r="D17" s="44" t="s">
        <v>185</v>
      </c>
      <c r="E17" s="55">
        <v>4</v>
      </c>
      <c r="F17" s="52" t="s">
        <v>39</v>
      </c>
      <c r="G17" s="53" t="s">
        <v>61</v>
      </c>
      <c r="H17" s="53" t="s">
        <v>60</v>
      </c>
      <c r="I17" s="53" t="s">
        <v>93</v>
      </c>
      <c r="J17" s="53" t="s">
        <v>90</v>
      </c>
      <c r="K17" s="53" t="s">
        <v>98</v>
      </c>
      <c r="L17" s="52" t="s">
        <v>82</v>
      </c>
      <c r="M17" s="59" t="s">
        <v>75</v>
      </c>
      <c r="N17" s="59" t="s">
        <v>77</v>
      </c>
      <c r="O17" s="59" t="s">
        <v>184</v>
      </c>
      <c r="P17" s="58"/>
    </row>
    <row r="18" spans="1:16">
      <c r="A18" s="43">
        <v>16</v>
      </c>
      <c r="B18" s="44" t="s">
        <v>152</v>
      </c>
      <c r="C18" s="47">
        <v>2</v>
      </c>
      <c r="D18" s="44" t="s">
        <v>185</v>
      </c>
      <c r="E18" s="55">
        <v>5</v>
      </c>
      <c r="F18" s="52" t="s">
        <v>39</v>
      </c>
      <c r="G18" s="53" t="s">
        <v>61</v>
      </c>
      <c r="H18" s="53" t="s">
        <v>60</v>
      </c>
      <c r="I18" s="53" t="s">
        <v>93</v>
      </c>
      <c r="J18" s="53" t="s">
        <v>90</v>
      </c>
      <c r="K18" s="53" t="s">
        <v>98</v>
      </c>
      <c r="L18" s="52" t="s">
        <v>44</v>
      </c>
      <c r="M18" s="59" t="s">
        <v>192</v>
      </c>
      <c r="N18" s="59" t="s">
        <v>66</v>
      </c>
      <c r="O18" s="59" t="s">
        <v>184</v>
      </c>
      <c r="P18" s="58"/>
    </row>
    <row r="19" spans="1:16">
      <c r="A19" s="43">
        <v>17</v>
      </c>
      <c r="B19" s="44" t="s">
        <v>154</v>
      </c>
      <c r="C19" s="47">
        <v>2</v>
      </c>
      <c r="D19" s="44" t="s">
        <v>185</v>
      </c>
      <c r="E19" s="48">
        <v>4</v>
      </c>
      <c r="F19" s="52" t="s">
        <v>52</v>
      </c>
      <c r="G19" s="53" t="s">
        <v>64</v>
      </c>
      <c r="H19" s="53" t="s">
        <v>193</v>
      </c>
      <c r="I19" s="53" t="s">
        <v>95</v>
      </c>
      <c r="J19" s="53" t="s">
        <v>38</v>
      </c>
      <c r="K19" s="53" t="s">
        <v>66</v>
      </c>
      <c r="L19" s="49" t="s">
        <v>184</v>
      </c>
      <c r="M19" s="49" t="s">
        <v>184</v>
      </c>
      <c r="N19" s="49" t="s">
        <v>184</v>
      </c>
      <c r="O19" s="49" t="s">
        <v>184</v>
      </c>
      <c r="P19" s="58" t="s">
        <v>194</v>
      </c>
    </row>
    <row r="20" spans="1:16">
      <c r="A20" s="43">
        <v>18</v>
      </c>
      <c r="B20" s="44" t="s">
        <v>156</v>
      </c>
      <c r="C20" s="47">
        <v>2</v>
      </c>
      <c r="D20" s="44" t="s">
        <v>185</v>
      </c>
      <c r="E20" s="48">
        <v>3</v>
      </c>
      <c r="F20" s="52" t="s">
        <v>195</v>
      </c>
      <c r="G20" s="53" t="s">
        <v>51</v>
      </c>
      <c r="H20" s="53" t="s">
        <v>73</v>
      </c>
      <c r="I20" s="53" t="s">
        <v>75</v>
      </c>
      <c r="J20" s="53" t="s">
        <v>78</v>
      </c>
      <c r="K20" s="53" t="s">
        <v>97</v>
      </c>
      <c r="L20" s="53" t="s">
        <v>196</v>
      </c>
      <c r="M20" s="53" t="s">
        <v>92</v>
      </c>
      <c r="N20" s="49" t="s">
        <v>184</v>
      </c>
      <c r="O20" s="49" t="s">
        <v>184</v>
      </c>
    </row>
    <row r="21" spans="1:16" ht="16.5">
      <c r="A21" s="43">
        <v>19</v>
      </c>
      <c r="B21" s="44" t="s">
        <v>158</v>
      </c>
      <c r="C21" s="47">
        <v>2</v>
      </c>
      <c r="D21" s="44" t="s">
        <v>185</v>
      </c>
      <c r="E21" s="48">
        <v>3</v>
      </c>
      <c r="F21" s="52" t="s">
        <v>197</v>
      </c>
      <c r="G21" s="56" t="s">
        <v>48</v>
      </c>
      <c r="H21" s="53" t="s">
        <v>51</v>
      </c>
      <c r="I21" s="53" t="s">
        <v>75</v>
      </c>
      <c r="J21" s="53" t="s">
        <v>77</v>
      </c>
      <c r="K21" s="53" t="s">
        <v>92</v>
      </c>
      <c r="L21" s="49" t="s">
        <v>184</v>
      </c>
      <c r="M21" s="49" t="s">
        <v>184</v>
      </c>
      <c r="N21" s="49" t="s">
        <v>184</v>
      </c>
      <c r="O21" s="49" t="s">
        <v>184</v>
      </c>
    </row>
    <row r="22" spans="1:16" ht="16.5">
      <c r="A22" s="43">
        <v>20</v>
      </c>
      <c r="B22" s="44" t="s">
        <v>160</v>
      </c>
      <c r="C22" s="47">
        <v>3</v>
      </c>
      <c r="D22" s="44" t="s">
        <v>185</v>
      </c>
      <c r="E22" s="48">
        <v>4</v>
      </c>
      <c r="F22" s="52" t="s">
        <v>198</v>
      </c>
      <c r="G22" s="53" t="s">
        <v>47</v>
      </c>
      <c r="H22" s="56" t="s">
        <v>48</v>
      </c>
      <c r="I22" s="53" t="s">
        <v>88</v>
      </c>
      <c r="J22" s="53" t="s">
        <v>199</v>
      </c>
      <c r="K22" s="53" t="s">
        <v>57</v>
      </c>
      <c r="L22" s="53" t="s">
        <v>70</v>
      </c>
      <c r="M22" s="53" t="s">
        <v>196</v>
      </c>
      <c r="N22" s="53" t="s">
        <v>92</v>
      </c>
      <c r="O22" s="49" t="s">
        <v>184</v>
      </c>
    </row>
    <row r="23" spans="1:16" ht="16.5">
      <c r="A23" s="43">
        <v>21</v>
      </c>
      <c r="B23" s="44" t="s">
        <v>162</v>
      </c>
      <c r="C23" s="47">
        <v>2</v>
      </c>
      <c r="D23" s="44" t="s">
        <v>185</v>
      </c>
      <c r="E23" s="48">
        <v>3</v>
      </c>
      <c r="F23" s="52" t="s">
        <v>37</v>
      </c>
      <c r="G23" s="54" t="s">
        <v>45</v>
      </c>
      <c r="H23" s="56" t="s">
        <v>48</v>
      </c>
      <c r="I23" s="53" t="s">
        <v>70</v>
      </c>
      <c r="J23" s="53" t="s">
        <v>91</v>
      </c>
      <c r="K23" s="53" t="s">
        <v>97</v>
      </c>
      <c r="L23" s="53" t="s">
        <v>38</v>
      </c>
      <c r="M23" s="53" t="s">
        <v>66</v>
      </c>
      <c r="N23" s="53" t="s">
        <v>90</v>
      </c>
      <c r="O23" s="56" t="s">
        <v>94</v>
      </c>
      <c r="P23" s="60"/>
    </row>
    <row r="24" spans="1:16">
      <c r="A24" s="43">
        <v>22</v>
      </c>
      <c r="B24" s="44" t="s">
        <v>164</v>
      </c>
      <c r="C24" s="47">
        <v>3</v>
      </c>
      <c r="D24" s="44" t="s">
        <v>185</v>
      </c>
      <c r="E24" s="48">
        <v>5</v>
      </c>
      <c r="F24" s="52" t="s">
        <v>200</v>
      </c>
      <c r="G24" s="53" t="s">
        <v>68</v>
      </c>
      <c r="H24" s="53" t="s">
        <v>201</v>
      </c>
      <c r="I24" s="52" t="s">
        <v>99</v>
      </c>
      <c r="J24" s="52" t="s">
        <v>100</v>
      </c>
      <c r="K24" s="52" t="s">
        <v>100</v>
      </c>
      <c r="L24" s="52" t="s">
        <v>100</v>
      </c>
      <c r="M24" s="49" t="s">
        <v>184</v>
      </c>
      <c r="N24" s="49" t="s">
        <v>184</v>
      </c>
      <c r="O24" s="49" t="s">
        <v>184</v>
      </c>
      <c r="P24" s="58" t="s">
        <v>202</v>
      </c>
    </row>
    <row r="25" spans="1:16">
      <c r="A25" s="43">
        <v>23</v>
      </c>
      <c r="B25" s="44" t="s">
        <v>166</v>
      </c>
      <c r="C25" s="47">
        <v>3</v>
      </c>
      <c r="D25" s="44" t="s">
        <v>185</v>
      </c>
      <c r="E25" s="48">
        <v>4</v>
      </c>
      <c r="F25" s="52" t="s">
        <v>51</v>
      </c>
      <c r="G25" s="53" t="s">
        <v>88</v>
      </c>
      <c r="H25" s="53" t="s">
        <v>68</v>
      </c>
      <c r="I25" s="53" t="s">
        <v>73</v>
      </c>
      <c r="J25" s="53" t="s">
        <v>97</v>
      </c>
      <c r="K25" s="49" t="s">
        <v>184</v>
      </c>
      <c r="L25" s="49" t="s">
        <v>184</v>
      </c>
      <c r="M25" s="49" t="s">
        <v>184</v>
      </c>
      <c r="N25" s="49" t="s">
        <v>184</v>
      </c>
      <c r="O25" s="49" t="s">
        <v>184</v>
      </c>
      <c r="P25" s="58" t="s">
        <v>203</v>
      </c>
    </row>
    <row r="26" spans="1:16">
      <c r="P26" s="57"/>
    </row>
    <row r="27" spans="1:16">
      <c r="P27" s="57"/>
    </row>
    <row r="28" spans="1:16" ht="16.5">
      <c r="B28" s="43" t="s">
        <v>37</v>
      </c>
      <c r="L28" s="60"/>
      <c r="P28" s="57"/>
    </row>
    <row r="29" spans="1:16">
      <c r="B29" s="43" t="s">
        <v>45</v>
      </c>
      <c r="P29" s="57"/>
    </row>
    <row r="30" spans="1:16">
      <c r="B30" s="43" t="s">
        <v>48</v>
      </c>
      <c r="P30" s="57"/>
    </row>
    <row r="31" spans="1:16">
      <c r="B31" s="43" t="s">
        <v>70</v>
      </c>
      <c r="P31" s="57"/>
    </row>
    <row r="32" spans="1:16">
      <c r="B32" s="43" t="s">
        <v>91</v>
      </c>
      <c r="P32" s="57"/>
    </row>
    <row r="33" spans="2:16">
      <c r="B33" s="43" t="s">
        <v>97</v>
      </c>
      <c r="P33" s="57"/>
    </row>
    <row r="34" spans="2:16">
      <c r="B34" s="43" t="s">
        <v>38</v>
      </c>
      <c r="P34" s="57"/>
    </row>
    <row r="35" spans="2:16">
      <c r="B35" s="43" t="s">
        <v>66</v>
      </c>
    </row>
    <row r="36" spans="2:16">
      <c r="B36" s="43" t="s">
        <v>90</v>
      </c>
    </row>
    <row r="37" spans="2:16" ht="16.5">
      <c r="B37" s="56" t="s">
        <v>94</v>
      </c>
    </row>
  </sheetData>
  <mergeCells count="1">
    <mergeCell ref="C1:E1"/>
  </mergeCells>
  <phoneticPr fontId="21" type="noConversion"/>
  <conditionalFormatting sqref="F12">
    <cfRule type="expression" dxfId="10" priority="10">
      <formula>MOD(ROW(),2)=0</formula>
    </cfRule>
  </conditionalFormatting>
  <conditionalFormatting sqref="F13">
    <cfRule type="expression" dxfId="9" priority="9">
      <formula>MOD(ROW(),2)=0</formula>
    </cfRule>
  </conditionalFormatting>
  <conditionalFormatting sqref="F14">
    <cfRule type="expression" dxfId="8" priority="8">
      <formula>MOD(ROW(),2)=0</formula>
    </cfRule>
  </conditionalFormatting>
  <conditionalFormatting sqref="F15">
    <cfRule type="expression" dxfId="7" priority="4">
      <formula>MOD(ROW(),2)=0</formula>
    </cfRule>
  </conditionalFormatting>
  <conditionalFormatting sqref="F16">
    <cfRule type="expression" dxfId="6" priority="3">
      <formula>MOD(ROW(),2)=0</formula>
    </cfRule>
  </conditionalFormatting>
  <conditionalFormatting sqref="F17">
    <cfRule type="expression" dxfId="5" priority="2">
      <formula>MOD(ROW(),2)=0</formula>
    </cfRule>
  </conditionalFormatting>
  <conditionalFormatting sqref="F18">
    <cfRule type="expression" dxfId="4" priority="1">
      <formula>MOD(ROW(),2)=0</formula>
    </cfRule>
  </conditionalFormatting>
  <conditionalFormatting sqref="F19">
    <cfRule type="expression" dxfId="3" priority="7">
      <formula>MOD(ROW(),2)=0</formula>
    </cfRule>
  </conditionalFormatting>
  <conditionalFormatting sqref="F20">
    <cfRule type="expression" dxfId="2" priority="6">
      <formula>MOD(ROW(),2)=0</formula>
    </cfRule>
  </conditionalFormatting>
  <conditionalFormatting sqref="F21:F25">
    <cfRule type="expression" dxfId="1" priority="5">
      <formula>MOD(ROW(),2)=0</formula>
    </cfRule>
  </conditionalFormatting>
  <dataValidations count="3">
    <dataValidation allowBlank="1" showInputMessage="1" showErrorMessage="1" promptTitle="伪装" prompt="一项能将你自己的外貌、姿势、声音变得难以被认出的能力.用那些比宽边软帽或假胡子更复杂的道具进行伪装的效果只能维持很短的时间,因为要想成功伪装,姿势和肢体语言至关重要_x000a_顺利将自己伪装成游戏中存在的人物并与熟知他的人打交道是十分困难的.只做短暂的声音模仿需要难度为4的检定；而面对面的伪装扮演,则需要在你与目标持续接触期间,每隔五分钟就进行一次难度为7的检定_x000a_在通过以下方式收集线索时, 伪装可视作等级和能力池加倍的调查能力_x000a_1.在未起疑心的人面前假冒身份_x000a_2.宽泛地扮演某一类型的角色_x000a_3.短暂地掩饰自己不被认出" sqref="J6 Q9:R9 G13 G23"/>
    <dataValidation allowBlank="1" showInputMessage="1" showErrorMessage="1" promptTitle="追踪" prompt="你擅长追踪可疑目标而不暴露行踪。你能够：_x000a_1.带领一组人员在短时期内追踪可疑目标，并让组内其他人员轮流接替跟踪任务，而目标不会察觉_x000a_2.用望远镜从远处监视目标_x000a_3.找到不易被发现的有利位置_x000a_4.在众目睽睽之下隐藏自己_x000a_5.估测在你视野范围内的盲点、据此制定计划，或是利用它们甩掉跟踪者" sqref="K9 N13 O23:P23 B37"/>
    <dataValidation allowBlank="1" showInputMessage="1" showErrorMessage="1" promptTitle="驾驶" prompt="任何学过开车的人都能开着轿车上路，而无需拥有该项能力。但你是一个老练稳健的司机，能让哪怕最顽固的轿车、敞篷小货车或公共汽车充分发挥性能。你能够：_x000a_1.逃脱追击或进行追击_x000a_2.避免碰撞，或使碰撞伤害最小化_x000a_3.现场改装交通工具_x000a_4.导航、看地图、保持方向感_x000a_5.实施应急修理_x000a__x000a_每增加2点驾驶能力等级，你可以额外添加一种交通工具作为你会驾驶的车辆类别" sqref="L16 G21 L28 H22:H23"/>
  </dataValidations>
  <pageMargins left="0.69930555555555596" right="0.69930555555555596"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4"/>
  <sheetViews>
    <sheetView workbookViewId="0">
      <selection activeCell="C19" sqref="C19"/>
    </sheetView>
  </sheetViews>
  <sheetFormatPr defaultColWidth="9" defaultRowHeight="13.5"/>
  <cols>
    <col min="3" max="3" width="99.5" customWidth="1"/>
  </cols>
  <sheetData>
    <row r="1" spans="1:3">
      <c r="A1" s="37">
        <v>0</v>
      </c>
      <c r="C1" t="s">
        <v>204</v>
      </c>
    </row>
    <row r="2" spans="1:3" ht="54">
      <c r="A2" s="38">
        <v>1</v>
      </c>
      <c r="B2" s="39" t="s">
        <v>122</v>
      </c>
      <c r="C2" s="40" t="s">
        <v>205</v>
      </c>
    </row>
    <row r="3" spans="1:3" ht="108">
      <c r="A3" s="38">
        <v>2</v>
      </c>
      <c r="B3" s="39" t="s">
        <v>124</v>
      </c>
      <c r="C3" s="21" t="s">
        <v>206</v>
      </c>
    </row>
    <row r="4" spans="1:3" ht="27">
      <c r="A4" s="38">
        <v>3</v>
      </c>
      <c r="B4" s="39" t="s">
        <v>126</v>
      </c>
      <c r="C4" s="21" t="s">
        <v>207</v>
      </c>
    </row>
    <row r="5" spans="1:3">
      <c r="A5" s="38">
        <v>4</v>
      </c>
      <c r="B5" s="39" t="s">
        <v>128</v>
      </c>
      <c r="C5" t="s">
        <v>208</v>
      </c>
    </row>
    <row r="6" spans="1:3">
      <c r="A6" s="38">
        <v>5</v>
      </c>
      <c r="B6" s="39" t="s">
        <v>130</v>
      </c>
      <c r="C6" t="s">
        <v>209</v>
      </c>
    </row>
    <row r="7" spans="1:3">
      <c r="A7" s="38">
        <v>6</v>
      </c>
      <c r="B7" s="39" t="s">
        <v>132</v>
      </c>
      <c r="C7" t="s">
        <v>210</v>
      </c>
    </row>
    <row r="8" spans="1:3" ht="54">
      <c r="A8" s="38">
        <v>7</v>
      </c>
      <c r="B8" s="39" t="s">
        <v>134</v>
      </c>
      <c r="C8" s="21" t="s">
        <v>211</v>
      </c>
    </row>
    <row r="9" spans="1:3" ht="27">
      <c r="A9" s="38">
        <v>8</v>
      </c>
      <c r="B9" s="39" t="s">
        <v>136</v>
      </c>
      <c r="C9" s="21" t="s">
        <v>212</v>
      </c>
    </row>
    <row r="10" spans="1:3" ht="54">
      <c r="A10" s="38">
        <v>9</v>
      </c>
      <c r="B10" s="39" t="s">
        <v>138</v>
      </c>
      <c r="C10" s="21" t="s">
        <v>213</v>
      </c>
    </row>
    <row r="11" spans="1:3" ht="54">
      <c r="A11" s="38">
        <v>10</v>
      </c>
      <c r="B11" s="39" t="s">
        <v>140</v>
      </c>
      <c r="C11" s="21" t="s">
        <v>214</v>
      </c>
    </row>
    <row r="12" spans="1:3">
      <c r="A12" s="38">
        <v>11</v>
      </c>
      <c r="B12" s="39" t="s">
        <v>142</v>
      </c>
      <c r="C12" t="s">
        <v>215</v>
      </c>
    </row>
    <row r="13" spans="1:3" ht="81">
      <c r="A13" s="38">
        <v>12</v>
      </c>
      <c r="B13" s="39" t="s">
        <v>144</v>
      </c>
      <c r="C13" s="21" t="s">
        <v>216</v>
      </c>
    </row>
    <row r="14" spans="1:3" ht="81">
      <c r="A14" s="38">
        <v>13</v>
      </c>
      <c r="B14" s="39" t="s">
        <v>146</v>
      </c>
      <c r="C14" s="21" t="s">
        <v>216</v>
      </c>
    </row>
    <row r="15" spans="1:3" ht="81">
      <c r="A15" s="38">
        <v>14</v>
      </c>
      <c r="B15" s="39" t="s">
        <v>148</v>
      </c>
      <c r="C15" s="21" t="s">
        <v>216</v>
      </c>
    </row>
    <row r="16" spans="1:3" ht="81">
      <c r="A16" s="38">
        <v>15</v>
      </c>
      <c r="B16" s="39" t="s">
        <v>150</v>
      </c>
      <c r="C16" s="21" t="s">
        <v>216</v>
      </c>
    </row>
    <row r="17" spans="1:3" ht="81">
      <c r="A17" s="38">
        <v>16</v>
      </c>
      <c r="B17" s="39" t="s">
        <v>152</v>
      </c>
      <c r="C17" s="21" t="s">
        <v>216</v>
      </c>
    </row>
    <row r="18" spans="1:3" ht="54">
      <c r="A18" s="38">
        <v>17</v>
      </c>
      <c r="B18" s="39" t="s">
        <v>154</v>
      </c>
      <c r="C18" s="21" t="s">
        <v>217</v>
      </c>
    </row>
    <row r="19" spans="1:3" ht="54">
      <c r="A19" s="38">
        <v>18</v>
      </c>
      <c r="B19" s="39" t="s">
        <v>156</v>
      </c>
      <c r="C19" s="21" t="s">
        <v>218</v>
      </c>
    </row>
    <row r="20" spans="1:3" ht="27">
      <c r="A20" s="38">
        <v>19</v>
      </c>
      <c r="B20" s="39" t="s">
        <v>158</v>
      </c>
      <c r="C20" s="21" t="s">
        <v>219</v>
      </c>
    </row>
    <row r="21" spans="1:3" ht="54">
      <c r="A21" s="38">
        <v>20</v>
      </c>
      <c r="B21" s="39" t="s">
        <v>160</v>
      </c>
      <c r="C21" s="21" t="s">
        <v>220</v>
      </c>
    </row>
    <row r="22" spans="1:3">
      <c r="A22" s="38">
        <v>21</v>
      </c>
      <c r="B22" s="39" t="s">
        <v>162</v>
      </c>
      <c r="C22" t="s">
        <v>221</v>
      </c>
    </row>
    <row r="23" spans="1:3" ht="54">
      <c r="A23" s="38">
        <v>22</v>
      </c>
      <c r="B23" s="39" t="s">
        <v>164</v>
      </c>
      <c r="C23" s="21" t="s">
        <v>222</v>
      </c>
    </row>
    <row r="24" spans="1:3">
      <c r="A24" s="41">
        <v>23</v>
      </c>
      <c r="B24" s="42" t="s">
        <v>166</v>
      </c>
      <c r="C24" t="s">
        <v>223</v>
      </c>
    </row>
  </sheetData>
  <sheetProtection selectLockedCells="1" selectUnlockedCells="1"/>
  <phoneticPr fontId="21" type="noConversion"/>
  <conditionalFormatting sqref="A2:B24 A1">
    <cfRule type="expression" dxfId="0" priority="1">
      <formula>MOD(ROW(),2)=0</formula>
    </cfRule>
  </conditionalFormatting>
  <pageMargins left="0.69930555555555596" right="0.69930555555555596"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
  <sheetViews>
    <sheetView workbookViewId="0">
      <selection activeCell="C6" sqref="C6"/>
    </sheetView>
  </sheetViews>
  <sheetFormatPr defaultColWidth="9" defaultRowHeight="13.5"/>
  <cols>
    <col min="3" max="3" width="49.625" customWidth="1"/>
    <col min="4" max="4" width="16.375" customWidth="1"/>
  </cols>
  <sheetData>
    <row r="1" spans="1:4">
      <c r="A1" t="s">
        <v>50</v>
      </c>
      <c r="B1" t="s">
        <v>19</v>
      </c>
      <c r="C1" t="s">
        <v>21</v>
      </c>
      <c r="D1" t="s">
        <v>224</v>
      </c>
    </row>
    <row r="2" spans="1:4">
      <c r="A2">
        <v>0</v>
      </c>
      <c r="B2" t="s">
        <v>225</v>
      </c>
      <c r="C2" t="s">
        <v>226</v>
      </c>
      <c r="D2" t="s">
        <v>227</v>
      </c>
    </row>
    <row r="3" spans="1:4" ht="27">
      <c r="A3">
        <v>1</v>
      </c>
      <c r="B3" t="s">
        <v>228</v>
      </c>
      <c r="C3" s="21" t="s">
        <v>229</v>
      </c>
      <c r="D3" t="s">
        <v>230</v>
      </c>
    </row>
    <row r="4" spans="1:4" ht="27">
      <c r="A4">
        <v>2</v>
      </c>
      <c r="B4" t="s">
        <v>231</v>
      </c>
      <c r="C4" s="21" t="s">
        <v>232</v>
      </c>
      <c r="D4" t="s">
        <v>233</v>
      </c>
    </row>
    <row r="5" spans="1:4" ht="27">
      <c r="A5">
        <v>3</v>
      </c>
      <c r="B5" t="s">
        <v>234</v>
      </c>
      <c r="C5" s="21" t="s">
        <v>235</v>
      </c>
      <c r="D5" t="s">
        <v>236</v>
      </c>
    </row>
    <row r="6" spans="1:4" ht="40.5">
      <c r="A6">
        <v>4</v>
      </c>
      <c r="B6" t="s">
        <v>237</v>
      </c>
      <c r="C6" s="21" t="s">
        <v>238</v>
      </c>
      <c r="D6" t="s">
        <v>239</v>
      </c>
    </row>
    <row r="7" spans="1:4" ht="40.5">
      <c r="A7">
        <v>5</v>
      </c>
      <c r="B7" t="s">
        <v>240</v>
      </c>
      <c r="C7" s="21" t="s">
        <v>241</v>
      </c>
      <c r="D7" t="s">
        <v>242</v>
      </c>
    </row>
    <row r="8" spans="1:4" ht="40.5">
      <c r="A8">
        <v>6</v>
      </c>
      <c r="B8" t="s">
        <v>243</v>
      </c>
      <c r="C8" s="21" t="s">
        <v>244</v>
      </c>
      <c r="D8" s="21" t="s">
        <v>245</v>
      </c>
    </row>
    <row r="9" spans="1:4" ht="40.5">
      <c r="A9">
        <v>7</v>
      </c>
      <c r="B9" t="s">
        <v>246</v>
      </c>
      <c r="C9" s="21" t="s">
        <v>247</v>
      </c>
      <c r="D9" t="s">
        <v>248</v>
      </c>
    </row>
  </sheetData>
  <phoneticPr fontId="21" type="noConversion"/>
  <pageMargins left="0.69930555555555596" right="0.69930555555555596"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4"/>
  <sheetViews>
    <sheetView workbookViewId="0">
      <selection activeCell="B14" sqref="B14"/>
    </sheetView>
  </sheetViews>
  <sheetFormatPr defaultColWidth="9" defaultRowHeight="13.5"/>
  <cols>
    <col min="1" max="1" width="36.625" style="21" customWidth="1"/>
    <col min="2" max="2" width="9.75" style="21" customWidth="1"/>
    <col min="3" max="3" width="15.375" style="21" customWidth="1"/>
    <col min="4" max="4" width="9" style="22"/>
    <col min="5" max="5" width="30.25" style="21" customWidth="1"/>
  </cols>
  <sheetData>
    <row r="1" spans="1:23" ht="16.5">
      <c r="A1" s="293" t="s">
        <v>249</v>
      </c>
      <c r="B1" s="294"/>
      <c r="C1" s="294"/>
      <c r="D1" s="294"/>
      <c r="E1" s="295"/>
      <c r="F1" s="23"/>
      <c r="G1" s="23"/>
      <c r="H1" s="23"/>
      <c r="I1" s="23"/>
      <c r="J1" s="23"/>
      <c r="K1" s="23"/>
      <c r="L1" s="23"/>
      <c r="M1" s="23"/>
      <c r="N1" s="23"/>
      <c r="O1" s="23"/>
      <c r="P1" s="23"/>
      <c r="Q1" s="23"/>
      <c r="R1" s="23"/>
      <c r="S1" s="23"/>
      <c r="T1" s="23"/>
      <c r="U1" s="23"/>
      <c r="V1" s="23"/>
      <c r="W1" s="23"/>
    </row>
    <row r="2" spans="1:23" ht="16.5">
      <c r="A2" s="24" t="s">
        <v>104</v>
      </c>
      <c r="B2" s="25" t="s">
        <v>250</v>
      </c>
      <c r="C2" s="26" t="s">
        <v>251</v>
      </c>
      <c r="D2" s="26" t="s">
        <v>252</v>
      </c>
      <c r="E2" s="27" t="s">
        <v>106</v>
      </c>
      <c r="G2" s="23"/>
      <c r="H2" s="23"/>
      <c r="I2" s="23"/>
      <c r="J2" s="23"/>
      <c r="K2" s="23"/>
      <c r="L2" s="23"/>
      <c r="M2" s="23"/>
      <c r="N2" s="23"/>
      <c r="O2" s="23"/>
      <c r="P2" s="23"/>
      <c r="Q2" s="23"/>
      <c r="R2" s="23"/>
      <c r="S2" s="23"/>
      <c r="T2" s="23"/>
      <c r="U2" s="23"/>
      <c r="V2" s="23"/>
      <c r="W2" s="23"/>
    </row>
    <row r="3" spans="1:23" ht="14.25" customHeight="1">
      <c r="A3" s="28" t="s">
        <v>253</v>
      </c>
      <c r="B3" s="29" t="s">
        <v>254</v>
      </c>
      <c r="C3" s="29">
        <v>8</v>
      </c>
      <c r="D3" s="29">
        <v>10</v>
      </c>
      <c r="E3" s="30"/>
      <c r="G3" s="23"/>
      <c r="H3" s="23"/>
      <c r="I3" s="23"/>
      <c r="J3" s="23"/>
      <c r="K3" s="23"/>
      <c r="L3" s="23"/>
      <c r="M3" s="23"/>
      <c r="N3" s="23"/>
      <c r="O3" s="23"/>
      <c r="P3" s="23"/>
      <c r="Q3" s="23"/>
      <c r="R3" s="23"/>
      <c r="S3" s="23"/>
      <c r="T3" s="23"/>
      <c r="U3" s="23"/>
      <c r="V3" s="23"/>
      <c r="W3" s="23"/>
    </row>
    <row r="4" spans="1:23" ht="16.5">
      <c r="A4" s="31" t="s">
        <v>255</v>
      </c>
      <c r="B4" s="32" t="s">
        <v>254</v>
      </c>
      <c r="C4" s="32">
        <v>8</v>
      </c>
      <c r="D4" s="32">
        <v>45</v>
      </c>
      <c r="E4" s="33" t="s">
        <v>256</v>
      </c>
      <c r="G4" s="23"/>
      <c r="H4" s="23"/>
      <c r="I4" s="23"/>
      <c r="J4" s="23"/>
      <c r="K4" s="23"/>
      <c r="L4" s="23"/>
      <c r="M4" s="23"/>
      <c r="N4" s="23"/>
      <c r="O4" s="23"/>
      <c r="P4" s="23"/>
      <c r="Q4" s="23"/>
      <c r="R4" s="23"/>
      <c r="S4" s="23"/>
      <c r="T4" s="23"/>
      <c r="U4" s="23"/>
      <c r="V4" s="23"/>
      <c r="W4" s="23"/>
    </row>
    <row r="5" spans="1:23" ht="16.5">
      <c r="A5" s="28" t="s">
        <v>257</v>
      </c>
      <c r="B5" s="29" t="s">
        <v>254</v>
      </c>
      <c r="C5" s="29">
        <v>8</v>
      </c>
      <c r="D5" s="29">
        <v>40</v>
      </c>
      <c r="E5" s="30" t="s">
        <v>258</v>
      </c>
      <c r="G5" s="23"/>
      <c r="H5" s="23"/>
      <c r="I5" s="23"/>
      <c r="J5" s="23"/>
      <c r="K5" s="23"/>
      <c r="L5" s="23"/>
      <c r="M5" s="23"/>
      <c r="N5" s="23"/>
      <c r="O5" s="23"/>
      <c r="P5" s="23"/>
      <c r="Q5" s="23"/>
      <c r="R5" s="23"/>
      <c r="S5" s="23"/>
      <c r="T5" s="23"/>
      <c r="U5" s="23"/>
      <c r="V5" s="23"/>
      <c r="W5" s="23"/>
    </row>
    <row r="6" spans="1:23" ht="16.5">
      <c r="A6" s="31" t="s">
        <v>259</v>
      </c>
      <c r="B6" s="32" t="s">
        <v>254</v>
      </c>
      <c r="C6" s="32">
        <v>10</v>
      </c>
      <c r="D6" s="32">
        <v>50</v>
      </c>
      <c r="E6" s="33"/>
      <c r="G6" s="23"/>
      <c r="H6" s="23"/>
      <c r="I6" s="23"/>
      <c r="J6" s="23"/>
      <c r="K6" s="23"/>
      <c r="L6" s="23"/>
      <c r="M6" s="23"/>
      <c r="N6" s="23"/>
      <c r="O6" s="23"/>
      <c r="P6" s="23"/>
      <c r="Q6" s="23"/>
      <c r="R6" s="23"/>
      <c r="S6" s="23"/>
      <c r="T6" s="23"/>
      <c r="U6" s="23"/>
      <c r="V6" s="23"/>
      <c r="W6" s="23"/>
    </row>
    <row r="7" spans="1:23" ht="33">
      <c r="A7" s="28" t="s">
        <v>260</v>
      </c>
      <c r="B7" s="29" t="s">
        <v>254</v>
      </c>
      <c r="C7" s="29">
        <v>2</v>
      </c>
      <c r="D7" s="29">
        <v>20</v>
      </c>
      <c r="E7" s="30" t="s">
        <v>261</v>
      </c>
      <c r="G7" s="23"/>
      <c r="H7" s="23"/>
      <c r="I7" s="23"/>
      <c r="J7" s="23"/>
      <c r="K7" s="23"/>
      <c r="L7" s="23"/>
      <c r="M7" s="23"/>
      <c r="N7" s="23"/>
      <c r="O7" s="23"/>
      <c r="P7" s="23"/>
      <c r="Q7" s="23"/>
      <c r="R7" s="23"/>
      <c r="S7" s="23"/>
      <c r="T7" s="23"/>
      <c r="U7" s="23"/>
      <c r="V7" s="23"/>
      <c r="W7" s="23"/>
    </row>
    <row r="8" spans="1:23" ht="16.5">
      <c r="A8" s="31" t="s">
        <v>262</v>
      </c>
      <c r="B8" s="32" t="s">
        <v>254</v>
      </c>
      <c r="C8" s="32">
        <v>6</v>
      </c>
      <c r="D8" s="32">
        <v>15</v>
      </c>
      <c r="E8" s="33" t="s">
        <v>263</v>
      </c>
      <c r="G8" s="23"/>
      <c r="H8" s="23"/>
      <c r="I8" s="23"/>
      <c r="J8" s="23"/>
      <c r="K8" s="23"/>
      <c r="L8" s="23"/>
      <c r="M8" s="23"/>
      <c r="N8" s="23"/>
      <c r="O8" s="23"/>
      <c r="P8" s="23"/>
      <c r="Q8" s="23"/>
      <c r="R8" s="23"/>
      <c r="S8" s="23"/>
      <c r="T8" s="23"/>
      <c r="U8" s="23"/>
      <c r="V8" s="23"/>
      <c r="W8" s="23"/>
    </row>
    <row r="9" spans="1:23" ht="16.5">
      <c r="A9" s="28" t="s">
        <v>264</v>
      </c>
      <c r="B9" s="29" t="s">
        <v>254</v>
      </c>
      <c r="C9" s="29">
        <v>7</v>
      </c>
      <c r="D9" s="29">
        <v>70</v>
      </c>
      <c r="E9" s="30"/>
      <c r="G9" s="23"/>
      <c r="H9" s="23"/>
      <c r="I9" s="23"/>
      <c r="J9" s="23"/>
      <c r="K9" s="23"/>
      <c r="L9" s="23"/>
      <c r="M9" s="23"/>
      <c r="N9" s="23"/>
      <c r="O9" s="23"/>
      <c r="P9" s="23"/>
      <c r="Q9" s="23"/>
      <c r="R9" s="23"/>
      <c r="S9" s="23"/>
      <c r="T9" s="23"/>
      <c r="U9" s="23"/>
      <c r="V9" s="23"/>
      <c r="W9" s="23"/>
    </row>
    <row r="10" spans="1:23" ht="16.5">
      <c r="A10" s="31" t="s">
        <v>265</v>
      </c>
      <c r="B10" s="32" t="s">
        <v>254</v>
      </c>
      <c r="C10" s="32">
        <v>20</v>
      </c>
      <c r="D10" s="32">
        <v>45</v>
      </c>
      <c r="E10" s="33"/>
      <c r="G10" s="23"/>
      <c r="H10" s="23"/>
      <c r="I10" s="23"/>
      <c r="J10" s="23"/>
      <c r="K10" s="23"/>
      <c r="L10" s="23"/>
      <c r="M10" s="23"/>
      <c r="N10" s="23"/>
      <c r="O10" s="23"/>
      <c r="P10" s="23"/>
      <c r="Q10" s="23"/>
      <c r="R10" s="23"/>
      <c r="S10" s="23"/>
      <c r="T10" s="23"/>
      <c r="U10" s="23"/>
      <c r="V10" s="23"/>
      <c r="W10" s="23"/>
    </row>
    <row r="11" spans="1:23" ht="33">
      <c r="A11" s="28" t="s">
        <v>266</v>
      </c>
      <c r="B11" s="29" t="s">
        <v>254</v>
      </c>
      <c r="C11" s="29">
        <v>6</v>
      </c>
      <c r="D11" s="29">
        <v>20</v>
      </c>
      <c r="E11" s="30" t="s">
        <v>267</v>
      </c>
      <c r="G11" s="23"/>
      <c r="H11" s="23"/>
      <c r="I11" s="23"/>
      <c r="J11" s="23"/>
      <c r="K11" s="23"/>
      <c r="L11" s="23"/>
      <c r="M11" s="23"/>
      <c r="N11" s="23"/>
      <c r="O11" s="23"/>
      <c r="P11" s="23"/>
      <c r="Q11" s="23"/>
      <c r="R11" s="23"/>
      <c r="S11" s="23"/>
      <c r="T11" s="23"/>
      <c r="U11" s="23"/>
      <c r="V11" s="23"/>
      <c r="W11" s="23"/>
    </row>
    <row r="12" spans="1:23" ht="16.5">
      <c r="A12" s="31" t="s">
        <v>268</v>
      </c>
      <c r="B12" s="32" t="s">
        <v>254</v>
      </c>
      <c r="C12" s="32">
        <v>5</v>
      </c>
      <c r="D12" s="32">
        <v>50</v>
      </c>
      <c r="E12" s="33"/>
      <c r="G12" s="23"/>
      <c r="H12" s="23"/>
      <c r="I12" s="23"/>
      <c r="J12" s="23"/>
      <c r="K12" s="23"/>
      <c r="L12" s="23"/>
      <c r="M12" s="23"/>
      <c r="N12" s="23"/>
      <c r="O12" s="23"/>
      <c r="P12" s="23"/>
      <c r="Q12" s="23"/>
      <c r="R12" s="23"/>
      <c r="S12" s="23"/>
      <c r="T12" s="23"/>
      <c r="U12" s="23"/>
      <c r="V12" s="23"/>
      <c r="W12" s="23"/>
    </row>
    <row r="13" spans="1:23" ht="16.5">
      <c r="A13" s="28" t="s">
        <v>269</v>
      </c>
      <c r="B13" s="29" t="s">
        <v>254</v>
      </c>
      <c r="C13" s="29">
        <v>2</v>
      </c>
      <c r="D13" s="29">
        <v>35</v>
      </c>
      <c r="E13" s="30" t="s">
        <v>270</v>
      </c>
      <c r="G13" s="23"/>
      <c r="H13" s="23"/>
      <c r="I13" s="23"/>
      <c r="J13" s="23"/>
      <c r="K13" s="23"/>
      <c r="L13" s="23"/>
      <c r="M13" s="23"/>
      <c r="N13" s="23"/>
      <c r="O13" s="23"/>
      <c r="P13" s="23"/>
      <c r="Q13" s="23"/>
      <c r="R13" s="23"/>
      <c r="S13" s="23"/>
      <c r="T13" s="23"/>
      <c r="U13" s="23"/>
      <c r="V13" s="23"/>
      <c r="W13" s="23"/>
    </row>
    <row r="14" spans="1:23" ht="49.5">
      <c r="A14" s="31" t="s">
        <v>271</v>
      </c>
      <c r="B14" s="32" t="s">
        <v>272</v>
      </c>
      <c r="C14" s="32">
        <v>1</v>
      </c>
      <c r="D14" s="32">
        <v>30</v>
      </c>
      <c r="E14" s="33" t="s">
        <v>273</v>
      </c>
      <c r="G14" s="23"/>
      <c r="H14" s="23"/>
      <c r="I14" s="23"/>
      <c r="J14" s="23"/>
      <c r="K14" s="23"/>
      <c r="L14" s="23"/>
      <c r="M14" s="23"/>
      <c r="N14" s="23"/>
      <c r="O14" s="23"/>
      <c r="P14" s="23"/>
      <c r="Q14" s="23"/>
      <c r="R14" s="23"/>
      <c r="S14" s="23"/>
      <c r="T14" s="23"/>
      <c r="U14" s="23"/>
      <c r="V14" s="23"/>
      <c r="W14" s="23"/>
    </row>
    <row r="15" spans="1:23" ht="33">
      <c r="A15" s="28" t="s">
        <v>274</v>
      </c>
      <c r="B15" s="29" t="s">
        <v>272</v>
      </c>
      <c r="C15" s="29">
        <v>7</v>
      </c>
      <c r="D15" s="29">
        <v>50</v>
      </c>
      <c r="E15" s="30" t="s">
        <v>275</v>
      </c>
      <c r="G15" s="23"/>
      <c r="H15" s="23"/>
      <c r="I15" s="23"/>
      <c r="J15" s="23"/>
      <c r="K15" s="23"/>
      <c r="L15" s="23"/>
      <c r="M15" s="23"/>
      <c r="N15" s="23"/>
      <c r="O15" s="23"/>
      <c r="P15" s="23"/>
      <c r="Q15" s="23"/>
      <c r="R15" s="23"/>
      <c r="S15" s="23"/>
      <c r="T15" s="23"/>
      <c r="U15" s="23"/>
      <c r="V15" s="23"/>
      <c r="W15" s="23"/>
    </row>
    <row r="16" spans="1:23" ht="16.5">
      <c r="A16" s="31" t="s">
        <v>276</v>
      </c>
      <c r="B16" s="32" t="s">
        <v>272</v>
      </c>
      <c r="C16" s="32">
        <v>8</v>
      </c>
      <c r="D16" s="32">
        <v>50</v>
      </c>
      <c r="E16" s="33" t="s">
        <v>277</v>
      </c>
      <c r="G16" s="23"/>
      <c r="H16" s="23"/>
      <c r="I16" s="23"/>
      <c r="J16" s="23"/>
      <c r="K16" s="23"/>
      <c r="L16" s="23"/>
      <c r="M16" s="23"/>
      <c r="N16" s="23"/>
      <c r="O16" s="23"/>
      <c r="P16" s="23"/>
      <c r="Q16" s="23"/>
      <c r="R16" s="23"/>
      <c r="S16" s="23"/>
      <c r="T16" s="23"/>
      <c r="U16" s="23"/>
      <c r="V16" s="23"/>
      <c r="W16" s="23"/>
    </row>
    <row r="17" spans="1:23" ht="16.5">
      <c r="A17" s="28" t="s">
        <v>278</v>
      </c>
      <c r="B17" s="29" t="s">
        <v>272</v>
      </c>
      <c r="C17" s="29">
        <v>8</v>
      </c>
      <c r="D17" s="29">
        <v>75</v>
      </c>
      <c r="E17" s="30" t="s">
        <v>277</v>
      </c>
      <c r="G17" s="23"/>
      <c r="H17" s="23"/>
      <c r="I17" s="23"/>
      <c r="J17" s="23"/>
      <c r="K17" s="23"/>
      <c r="L17" s="23"/>
      <c r="M17" s="23"/>
      <c r="N17" s="23"/>
      <c r="O17" s="23"/>
      <c r="P17" s="23"/>
      <c r="Q17" s="23"/>
      <c r="R17" s="23"/>
      <c r="S17" s="23"/>
      <c r="T17" s="23"/>
      <c r="U17" s="23"/>
      <c r="V17" s="23"/>
      <c r="W17" s="23"/>
    </row>
    <row r="18" spans="1:23" ht="16.5">
      <c r="A18" s="31" t="s">
        <v>279</v>
      </c>
      <c r="B18" s="32" t="s">
        <v>272</v>
      </c>
      <c r="C18" s="32">
        <v>13</v>
      </c>
      <c r="D18" s="32">
        <v>75</v>
      </c>
      <c r="E18" s="33"/>
      <c r="G18" s="23"/>
      <c r="H18" s="23"/>
      <c r="I18" s="23"/>
      <c r="J18" s="23"/>
      <c r="K18" s="23"/>
      <c r="L18" s="23"/>
      <c r="M18" s="23"/>
      <c r="N18" s="23"/>
      <c r="O18" s="23"/>
      <c r="P18" s="23"/>
      <c r="Q18" s="23"/>
      <c r="R18" s="23"/>
      <c r="S18" s="23"/>
      <c r="T18" s="23"/>
      <c r="U18" s="23"/>
      <c r="V18" s="23"/>
      <c r="W18" s="23"/>
    </row>
    <row r="19" spans="1:23" ht="16.5">
      <c r="A19" s="28" t="s">
        <v>280</v>
      </c>
      <c r="B19" s="29" t="s">
        <v>272</v>
      </c>
      <c r="C19" s="29">
        <v>6</v>
      </c>
      <c r="D19" s="29">
        <v>25</v>
      </c>
      <c r="E19" s="30" t="s">
        <v>281</v>
      </c>
      <c r="G19" s="23"/>
      <c r="H19" s="23"/>
      <c r="I19" s="23"/>
      <c r="J19" s="23"/>
      <c r="K19" s="23"/>
      <c r="L19" s="23"/>
      <c r="M19" s="23"/>
      <c r="N19" s="23"/>
      <c r="O19" s="23"/>
      <c r="P19" s="23"/>
      <c r="Q19" s="23"/>
      <c r="R19" s="23"/>
      <c r="S19" s="23"/>
      <c r="T19" s="23"/>
      <c r="U19" s="23"/>
      <c r="V19" s="23"/>
      <c r="W19" s="23"/>
    </row>
    <row r="20" spans="1:23" ht="16.5">
      <c r="A20" s="31" t="s">
        <v>282</v>
      </c>
      <c r="B20" s="32" t="s">
        <v>272</v>
      </c>
      <c r="C20" s="32">
        <v>6</v>
      </c>
      <c r="D20" s="32">
        <v>30</v>
      </c>
      <c r="E20" s="33" t="s">
        <v>263</v>
      </c>
      <c r="G20" s="23"/>
      <c r="H20" s="23"/>
      <c r="I20" s="23"/>
      <c r="J20" s="23"/>
      <c r="K20" s="23"/>
      <c r="L20" s="23"/>
      <c r="M20" s="23"/>
      <c r="N20" s="23"/>
      <c r="O20" s="23"/>
      <c r="P20" s="23"/>
      <c r="Q20" s="23"/>
      <c r="R20" s="23"/>
      <c r="S20" s="23"/>
      <c r="T20" s="23"/>
      <c r="U20" s="23"/>
      <c r="V20" s="23"/>
      <c r="W20" s="23"/>
    </row>
    <row r="21" spans="1:23" ht="16.5">
      <c r="A21" s="28" t="s">
        <v>283</v>
      </c>
      <c r="B21" s="29" t="s">
        <v>272</v>
      </c>
      <c r="C21" s="29">
        <v>6</v>
      </c>
      <c r="D21" s="29">
        <v>80</v>
      </c>
      <c r="E21" s="30"/>
      <c r="G21" s="23"/>
      <c r="H21" s="23"/>
      <c r="I21" s="23"/>
      <c r="J21" s="23"/>
      <c r="K21" s="23"/>
      <c r="L21" s="23"/>
      <c r="M21" s="23"/>
      <c r="N21" s="23"/>
      <c r="O21" s="23"/>
      <c r="P21" s="23"/>
      <c r="Q21" s="23"/>
      <c r="R21" s="23"/>
      <c r="S21" s="23"/>
      <c r="T21" s="23"/>
      <c r="U21" s="23"/>
      <c r="V21" s="23"/>
      <c r="W21" s="23"/>
    </row>
    <row r="22" spans="1:23" ht="16.5">
      <c r="A22" s="31" t="s">
        <v>284</v>
      </c>
      <c r="B22" s="32" t="s">
        <v>272</v>
      </c>
      <c r="C22" s="32" t="s">
        <v>285</v>
      </c>
      <c r="D22" s="32">
        <v>200</v>
      </c>
      <c r="E22" s="33"/>
      <c r="G22" s="23"/>
      <c r="H22" s="23"/>
      <c r="I22" s="23"/>
      <c r="J22" s="23"/>
      <c r="K22" s="23"/>
      <c r="L22" s="23"/>
      <c r="M22" s="23"/>
      <c r="N22" s="23"/>
      <c r="O22" s="23"/>
      <c r="P22" s="23"/>
      <c r="Q22" s="23"/>
      <c r="R22" s="23"/>
      <c r="S22" s="23"/>
      <c r="T22" s="23"/>
      <c r="U22" s="23"/>
      <c r="V22" s="23"/>
      <c r="W22" s="23"/>
    </row>
    <row r="23" spans="1:23" ht="16.5">
      <c r="A23" s="28" t="s">
        <v>286</v>
      </c>
      <c r="B23" s="29" t="s">
        <v>272</v>
      </c>
      <c r="C23" s="29">
        <v>32</v>
      </c>
      <c r="D23" s="29">
        <v>200</v>
      </c>
      <c r="E23" s="30"/>
      <c r="G23" s="23"/>
      <c r="H23" s="23"/>
      <c r="I23" s="23"/>
      <c r="J23" s="23"/>
      <c r="K23" s="23"/>
      <c r="L23" s="23"/>
      <c r="M23" s="23"/>
      <c r="N23" s="23"/>
      <c r="O23" s="23"/>
      <c r="P23" s="23"/>
      <c r="Q23" s="23"/>
      <c r="R23" s="23"/>
      <c r="S23" s="23"/>
      <c r="T23" s="23"/>
      <c r="U23" s="23"/>
      <c r="V23" s="23"/>
      <c r="W23" s="23"/>
    </row>
    <row r="24" spans="1:23" ht="49.5">
      <c r="A24" s="31" t="s">
        <v>287</v>
      </c>
      <c r="B24" s="32" t="s">
        <v>272</v>
      </c>
      <c r="C24" s="32">
        <v>5</v>
      </c>
      <c r="D24" s="32">
        <v>125</v>
      </c>
      <c r="E24" s="33" t="s">
        <v>288</v>
      </c>
      <c r="G24" s="23"/>
      <c r="H24" s="23"/>
      <c r="I24" s="23"/>
      <c r="J24" s="23"/>
      <c r="K24" s="23"/>
      <c r="L24" s="23"/>
      <c r="M24" s="23"/>
      <c r="N24" s="23"/>
      <c r="O24" s="23"/>
      <c r="P24" s="23"/>
      <c r="Q24" s="23"/>
      <c r="R24" s="23"/>
      <c r="S24" s="23"/>
      <c r="T24" s="23"/>
      <c r="U24" s="23"/>
      <c r="V24" s="23"/>
      <c r="W24" s="23"/>
    </row>
    <row r="25" spans="1:23" ht="16.5">
      <c r="A25" s="28" t="s">
        <v>289</v>
      </c>
      <c r="B25" s="29" t="s">
        <v>272</v>
      </c>
      <c r="C25" s="29">
        <v>8</v>
      </c>
      <c r="D25" s="29">
        <v>120</v>
      </c>
      <c r="E25" s="30" t="s">
        <v>290</v>
      </c>
      <c r="G25" s="23"/>
      <c r="H25" s="23"/>
      <c r="I25" s="23"/>
      <c r="J25" s="23"/>
      <c r="K25" s="23"/>
      <c r="L25" s="23"/>
      <c r="M25" s="23"/>
      <c r="N25" s="23"/>
      <c r="O25" s="23"/>
      <c r="P25" s="23"/>
      <c r="Q25" s="23"/>
      <c r="R25" s="23"/>
      <c r="S25" s="23"/>
      <c r="T25" s="23"/>
      <c r="U25" s="23"/>
      <c r="V25" s="23"/>
      <c r="W25" s="23"/>
    </row>
    <row r="26" spans="1:23" ht="16.5">
      <c r="A26" s="31" t="s">
        <v>291</v>
      </c>
      <c r="B26" s="32" t="s">
        <v>272</v>
      </c>
      <c r="C26" s="32">
        <v>10</v>
      </c>
      <c r="D26" s="32">
        <v>100</v>
      </c>
      <c r="E26" s="33" t="s">
        <v>292</v>
      </c>
      <c r="G26" s="23"/>
      <c r="H26" s="23"/>
      <c r="I26" s="23"/>
      <c r="J26" s="23"/>
      <c r="K26" s="23"/>
      <c r="L26" s="23"/>
      <c r="M26" s="23"/>
      <c r="N26" s="23"/>
      <c r="O26" s="23"/>
      <c r="P26" s="23"/>
      <c r="Q26" s="23"/>
      <c r="R26" s="23"/>
      <c r="S26" s="23"/>
      <c r="T26" s="23"/>
      <c r="U26" s="23"/>
      <c r="V26" s="23"/>
      <c r="W26" s="23"/>
    </row>
    <row r="27" spans="1:23" ht="16.5">
      <c r="A27" s="28" t="s">
        <v>293</v>
      </c>
      <c r="B27" s="29" t="s">
        <v>272</v>
      </c>
      <c r="C27" s="29">
        <v>5</v>
      </c>
      <c r="D27" s="29">
        <v>50</v>
      </c>
      <c r="E27" s="30"/>
      <c r="G27" s="23"/>
      <c r="H27" s="23"/>
      <c r="I27" s="23"/>
      <c r="J27" s="23"/>
      <c r="K27" s="23"/>
      <c r="L27" s="23"/>
      <c r="M27" s="23"/>
      <c r="N27" s="23"/>
      <c r="O27" s="23"/>
      <c r="P27" s="23"/>
      <c r="Q27" s="23"/>
      <c r="R27" s="23"/>
      <c r="S27" s="23"/>
      <c r="T27" s="23"/>
      <c r="U27" s="23"/>
      <c r="V27" s="23"/>
      <c r="W27" s="23"/>
    </row>
    <row r="28" spans="1:23" ht="16.5">
      <c r="A28" s="31" t="s">
        <v>294</v>
      </c>
      <c r="B28" s="32" t="s">
        <v>272</v>
      </c>
      <c r="C28" s="32">
        <v>2</v>
      </c>
      <c r="D28" s="32">
        <v>35</v>
      </c>
      <c r="E28" s="33" t="s">
        <v>270</v>
      </c>
      <c r="G28" s="23"/>
      <c r="H28" s="23"/>
      <c r="I28" s="23"/>
      <c r="J28" s="23"/>
      <c r="K28" s="23"/>
      <c r="L28" s="23"/>
      <c r="M28" s="23"/>
      <c r="N28" s="23"/>
      <c r="O28" s="23"/>
      <c r="P28" s="23"/>
      <c r="Q28" s="23"/>
      <c r="R28" s="23"/>
      <c r="S28" s="23"/>
      <c r="T28" s="23"/>
      <c r="U28" s="23"/>
      <c r="V28" s="23"/>
      <c r="W28" s="23"/>
    </row>
    <row r="29" spans="1:23" ht="49.5">
      <c r="A29" s="28" t="s">
        <v>295</v>
      </c>
      <c r="B29" s="29" t="s">
        <v>296</v>
      </c>
      <c r="C29" s="29">
        <v>2</v>
      </c>
      <c r="D29" s="29">
        <v>500</v>
      </c>
      <c r="E29" s="30" t="s">
        <v>297</v>
      </c>
      <c r="G29" s="23"/>
      <c r="H29" s="23"/>
      <c r="I29" s="23"/>
      <c r="J29" s="23"/>
      <c r="K29" s="23"/>
      <c r="L29" s="23"/>
      <c r="M29" s="23"/>
      <c r="N29" s="23"/>
      <c r="O29" s="23"/>
      <c r="P29" s="23"/>
      <c r="Q29" s="23"/>
      <c r="R29" s="23"/>
      <c r="S29" s="23"/>
      <c r="T29" s="23"/>
      <c r="U29" s="23"/>
      <c r="V29" s="23"/>
      <c r="W29" s="23"/>
    </row>
    <row r="30" spans="1:23" ht="33">
      <c r="A30" s="31" t="s">
        <v>298</v>
      </c>
      <c r="B30" s="32" t="s">
        <v>296</v>
      </c>
      <c r="C30" s="32">
        <v>20</v>
      </c>
      <c r="D30" s="32">
        <v>500</v>
      </c>
      <c r="E30" s="33" t="s">
        <v>299</v>
      </c>
      <c r="G30" s="23"/>
      <c r="H30" s="23"/>
      <c r="I30" s="23"/>
      <c r="J30" s="23"/>
      <c r="K30" s="23"/>
      <c r="L30" s="23"/>
      <c r="M30" s="23"/>
      <c r="N30" s="23"/>
      <c r="O30" s="23"/>
      <c r="P30" s="23"/>
      <c r="Q30" s="23"/>
      <c r="R30" s="23"/>
      <c r="S30" s="23"/>
      <c r="T30" s="23"/>
      <c r="U30" s="23"/>
      <c r="V30" s="23"/>
      <c r="W30" s="23"/>
    </row>
    <row r="31" spans="1:23" ht="16.5">
      <c r="A31" s="28" t="s">
        <v>109</v>
      </c>
      <c r="B31" s="29">
        <v>-2</v>
      </c>
      <c r="C31" s="29" t="s">
        <v>300</v>
      </c>
      <c r="D31" s="29" t="s">
        <v>300</v>
      </c>
      <c r="E31" s="30"/>
      <c r="G31" s="23"/>
      <c r="H31" s="23"/>
      <c r="I31" s="23"/>
      <c r="J31" s="23"/>
      <c r="K31" s="23"/>
      <c r="L31" s="23"/>
      <c r="M31" s="23"/>
      <c r="N31" s="23"/>
      <c r="O31" s="23"/>
      <c r="P31" s="23"/>
      <c r="Q31" s="23"/>
      <c r="R31" s="23"/>
      <c r="S31" s="23"/>
      <c r="T31" s="23"/>
      <c r="U31" s="23"/>
      <c r="V31" s="23"/>
      <c r="W31" s="23"/>
    </row>
    <row r="32" spans="1:23" ht="16.5">
      <c r="A32" s="31" t="s">
        <v>301</v>
      </c>
      <c r="B32" s="32">
        <v>-1</v>
      </c>
      <c r="C32" s="32" t="s">
        <v>300</v>
      </c>
      <c r="D32" s="32" t="s">
        <v>300</v>
      </c>
      <c r="E32" s="33"/>
      <c r="G32" s="23"/>
      <c r="H32" s="23"/>
      <c r="I32" s="23"/>
      <c r="J32" s="23"/>
      <c r="K32" s="23"/>
      <c r="L32" s="23"/>
      <c r="M32" s="23"/>
      <c r="N32" s="23"/>
      <c r="O32" s="23"/>
      <c r="P32" s="23"/>
      <c r="Q32" s="23"/>
      <c r="R32" s="23"/>
      <c r="S32" s="23"/>
      <c r="T32" s="23"/>
      <c r="U32" s="23"/>
      <c r="V32" s="23"/>
      <c r="W32" s="23"/>
    </row>
    <row r="33" spans="1:23" ht="16.5">
      <c r="A33" s="28" t="s">
        <v>302</v>
      </c>
      <c r="B33" s="29">
        <v>-1</v>
      </c>
      <c r="C33" s="29" t="s">
        <v>300</v>
      </c>
      <c r="D33" s="29" t="s">
        <v>300</v>
      </c>
      <c r="E33" s="30"/>
      <c r="G33" s="23"/>
      <c r="H33" s="23"/>
      <c r="I33" s="23"/>
      <c r="J33" s="23"/>
      <c r="K33" s="23"/>
      <c r="L33" s="23"/>
      <c r="M33" s="23"/>
      <c r="N33" s="23"/>
      <c r="O33" s="23"/>
      <c r="P33" s="23"/>
      <c r="Q33" s="23"/>
      <c r="R33" s="23"/>
      <c r="S33" s="23"/>
      <c r="T33" s="23"/>
      <c r="U33" s="23"/>
      <c r="V33" s="23"/>
      <c r="W33" s="23"/>
    </row>
    <row r="34" spans="1:23" ht="16.5">
      <c r="A34" s="31" t="s">
        <v>303</v>
      </c>
      <c r="B34" s="32">
        <v>-1</v>
      </c>
      <c r="C34" s="32" t="s">
        <v>300</v>
      </c>
      <c r="D34" s="32" t="s">
        <v>300</v>
      </c>
      <c r="E34" s="33"/>
      <c r="G34" s="23"/>
      <c r="H34" s="23"/>
      <c r="I34" s="23"/>
      <c r="J34" s="23"/>
      <c r="K34" s="23"/>
      <c r="L34" s="23"/>
      <c r="M34" s="23"/>
      <c r="N34" s="23"/>
      <c r="O34" s="23"/>
      <c r="P34" s="23"/>
      <c r="Q34" s="23"/>
      <c r="R34" s="23"/>
      <c r="S34" s="23"/>
      <c r="T34" s="23"/>
      <c r="U34" s="23"/>
      <c r="V34" s="23"/>
      <c r="W34" s="23"/>
    </row>
    <row r="35" spans="1:23" ht="16.5">
      <c r="A35" s="28" t="s">
        <v>304</v>
      </c>
      <c r="B35" s="29">
        <v>-1</v>
      </c>
      <c r="C35" s="29" t="s">
        <v>300</v>
      </c>
      <c r="D35" s="29" t="s">
        <v>300</v>
      </c>
      <c r="E35" s="30"/>
      <c r="G35" s="23"/>
      <c r="H35" s="23"/>
      <c r="I35" s="23"/>
      <c r="J35" s="23"/>
      <c r="K35" s="23"/>
      <c r="L35" s="23"/>
      <c r="M35" s="23"/>
      <c r="N35" s="23"/>
      <c r="O35" s="23"/>
      <c r="P35" s="23"/>
      <c r="Q35" s="23"/>
      <c r="R35" s="23"/>
      <c r="S35" s="23"/>
      <c r="T35" s="23"/>
      <c r="U35" s="23"/>
      <c r="V35" s="23"/>
      <c r="W35" s="23"/>
    </row>
    <row r="36" spans="1:23" ht="16.5">
      <c r="A36" s="31" t="s">
        <v>305</v>
      </c>
      <c r="B36" s="32">
        <v>-1</v>
      </c>
      <c r="C36" s="32" t="s">
        <v>300</v>
      </c>
      <c r="D36" s="32" t="s">
        <v>300</v>
      </c>
      <c r="E36" s="33"/>
      <c r="G36" s="23"/>
      <c r="H36" s="23"/>
      <c r="I36" s="23"/>
      <c r="J36" s="23"/>
      <c r="K36" s="23"/>
      <c r="L36" s="23"/>
      <c r="M36" s="23"/>
      <c r="N36" s="23"/>
      <c r="O36" s="23"/>
      <c r="P36" s="23"/>
      <c r="Q36" s="23"/>
      <c r="R36" s="23"/>
      <c r="S36" s="23"/>
      <c r="T36" s="23"/>
      <c r="U36" s="23"/>
      <c r="V36" s="23"/>
      <c r="W36" s="23"/>
    </row>
    <row r="37" spans="1:23" ht="16.5">
      <c r="A37" s="28" t="s">
        <v>306</v>
      </c>
      <c r="B37" s="29" t="s">
        <v>254</v>
      </c>
      <c r="C37" s="29" t="s">
        <v>300</v>
      </c>
      <c r="D37" s="29" t="s">
        <v>300</v>
      </c>
      <c r="E37" s="30"/>
      <c r="G37" s="23"/>
      <c r="H37" s="23"/>
      <c r="I37" s="23"/>
      <c r="J37" s="23"/>
      <c r="K37" s="23"/>
      <c r="L37" s="23"/>
      <c r="M37" s="23"/>
      <c r="N37" s="23"/>
      <c r="O37" s="23"/>
      <c r="P37" s="23"/>
      <c r="Q37" s="23"/>
      <c r="R37" s="23"/>
      <c r="S37" s="23"/>
      <c r="T37" s="23"/>
      <c r="U37" s="23"/>
      <c r="V37" s="23"/>
      <c r="W37" s="23"/>
    </row>
    <row r="38" spans="1:23" ht="16.5">
      <c r="A38" s="31" t="s">
        <v>307</v>
      </c>
      <c r="B38" s="32" t="s">
        <v>254</v>
      </c>
      <c r="C38" s="32" t="s">
        <v>300</v>
      </c>
      <c r="D38" s="32" t="s">
        <v>300</v>
      </c>
      <c r="E38" s="33"/>
      <c r="G38" s="23"/>
      <c r="H38" s="23"/>
      <c r="I38" s="23"/>
      <c r="J38" s="23"/>
      <c r="K38" s="23"/>
      <c r="L38" s="23"/>
      <c r="M38" s="23"/>
      <c r="N38" s="23"/>
      <c r="O38" s="23"/>
      <c r="P38" s="23"/>
      <c r="Q38" s="23"/>
      <c r="R38" s="23"/>
      <c r="S38" s="23"/>
      <c r="T38" s="23"/>
      <c r="U38" s="23"/>
      <c r="V38" s="23"/>
      <c r="W38" s="23"/>
    </row>
    <row r="39" spans="1:23" ht="16.5">
      <c r="A39" s="28" t="s">
        <v>308</v>
      </c>
      <c r="B39" s="29" t="s">
        <v>254</v>
      </c>
      <c r="C39" s="29" t="s">
        <v>300</v>
      </c>
      <c r="D39" s="29" t="s">
        <v>300</v>
      </c>
      <c r="E39" s="30"/>
      <c r="G39" s="23"/>
      <c r="H39" s="23"/>
      <c r="I39" s="23"/>
      <c r="J39" s="23"/>
      <c r="K39" s="23"/>
      <c r="L39" s="23"/>
      <c r="M39" s="23"/>
      <c r="N39" s="23"/>
      <c r="O39" s="23"/>
      <c r="P39" s="23"/>
      <c r="Q39" s="23"/>
      <c r="R39" s="23"/>
      <c r="S39" s="23"/>
      <c r="T39" s="23"/>
      <c r="U39" s="23"/>
      <c r="V39" s="23"/>
      <c r="W39" s="23"/>
    </row>
    <row r="40" spans="1:23" ht="16.5">
      <c r="A40" s="31" t="s">
        <v>309</v>
      </c>
      <c r="B40" s="32" t="s">
        <v>254</v>
      </c>
      <c r="C40" s="32" t="s">
        <v>300</v>
      </c>
      <c r="D40" s="32" t="s">
        <v>300</v>
      </c>
      <c r="E40" s="33"/>
      <c r="G40" s="23"/>
      <c r="H40" s="23"/>
      <c r="I40" s="23"/>
      <c r="J40" s="23"/>
      <c r="K40" s="23"/>
      <c r="L40" s="23"/>
      <c r="M40" s="23"/>
      <c r="N40" s="23"/>
      <c r="O40" s="23"/>
      <c r="P40" s="23"/>
      <c r="Q40" s="23"/>
      <c r="R40" s="23"/>
      <c r="S40" s="23"/>
      <c r="T40" s="23"/>
      <c r="U40" s="23"/>
      <c r="V40" s="23"/>
      <c r="W40" s="23"/>
    </row>
    <row r="41" spans="1:23" ht="16.5">
      <c r="A41" s="34" t="s">
        <v>310</v>
      </c>
      <c r="B41" s="35" t="s">
        <v>272</v>
      </c>
      <c r="C41" s="35" t="s">
        <v>300</v>
      </c>
      <c r="D41" s="35" t="s">
        <v>300</v>
      </c>
      <c r="E41" s="36"/>
      <c r="G41" s="23"/>
      <c r="H41" s="23"/>
      <c r="I41" s="23"/>
      <c r="J41" s="23"/>
      <c r="K41" s="23"/>
      <c r="L41" s="23"/>
      <c r="M41" s="23"/>
      <c r="N41" s="23"/>
      <c r="O41" s="23"/>
      <c r="P41" s="23"/>
      <c r="Q41" s="23"/>
      <c r="R41" s="23"/>
      <c r="S41" s="23"/>
      <c r="T41" s="23"/>
      <c r="U41" s="23"/>
      <c r="V41" s="23"/>
      <c r="W41" s="23"/>
    </row>
    <row r="42" spans="1:23" ht="16.5">
      <c r="F42" s="23"/>
      <c r="G42" s="23"/>
      <c r="H42" s="23"/>
      <c r="I42" s="23"/>
      <c r="J42" s="23"/>
      <c r="K42" s="23"/>
      <c r="L42" s="23"/>
      <c r="M42" s="23"/>
      <c r="N42" s="23"/>
      <c r="O42" s="23"/>
      <c r="P42" s="23"/>
      <c r="Q42" s="23"/>
      <c r="R42" s="23"/>
      <c r="S42" s="23"/>
      <c r="T42" s="23"/>
      <c r="U42" s="23"/>
      <c r="V42" s="23"/>
      <c r="W42" s="23"/>
    </row>
    <row r="43" spans="1:23" ht="16.5">
      <c r="F43" s="23"/>
      <c r="G43" s="23"/>
      <c r="H43" s="23"/>
      <c r="I43" s="23"/>
      <c r="J43" s="23"/>
      <c r="K43" s="23"/>
      <c r="L43" s="23"/>
      <c r="M43" s="23"/>
      <c r="N43" s="23"/>
      <c r="O43" s="23"/>
      <c r="P43" s="23"/>
      <c r="Q43" s="23"/>
      <c r="R43" s="23"/>
      <c r="S43" s="23"/>
      <c r="T43" s="23"/>
      <c r="U43" s="23"/>
      <c r="V43" s="23"/>
      <c r="W43" s="23"/>
    </row>
    <row r="44" spans="1:23" ht="16.5">
      <c r="F44" s="23"/>
      <c r="G44" s="23"/>
      <c r="H44" s="23"/>
      <c r="I44" s="23"/>
      <c r="J44" s="23"/>
      <c r="K44" s="23"/>
      <c r="L44" s="23"/>
      <c r="M44" s="23"/>
      <c r="N44" s="23"/>
      <c r="O44" s="23"/>
      <c r="P44" s="23"/>
      <c r="Q44" s="23"/>
      <c r="R44" s="23"/>
      <c r="S44" s="23"/>
      <c r="T44" s="23"/>
      <c r="U44" s="23"/>
      <c r="V44" s="23"/>
      <c r="W44" s="23"/>
    </row>
    <row r="45" spans="1:23" ht="16.5">
      <c r="F45" s="23"/>
      <c r="G45" s="23"/>
      <c r="H45" s="23"/>
      <c r="I45" s="23"/>
      <c r="J45" s="23"/>
      <c r="K45" s="23"/>
      <c r="L45" s="23"/>
      <c r="M45" s="23"/>
      <c r="N45" s="23"/>
      <c r="O45" s="23"/>
      <c r="P45" s="23"/>
      <c r="Q45" s="23"/>
      <c r="R45" s="23"/>
      <c r="S45" s="23"/>
      <c r="T45" s="23"/>
      <c r="U45" s="23"/>
      <c r="V45" s="23"/>
      <c r="W45" s="23"/>
    </row>
    <row r="46" spans="1:23" ht="16.5">
      <c r="F46" s="23"/>
      <c r="G46" s="23"/>
      <c r="H46" s="23"/>
      <c r="I46" s="23"/>
      <c r="J46" s="23"/>
      <c r="K46" s="23"/>
      <c r="L46" s="23"/>
      <c r="M46" s="23"/>
      <c r="N46" s="23"/>
      <c r="O46" s="23"/>
      <c r="P46" s="23"/>
      <c r="Q46" s="23"/>
      <c r="R46" s="23"/>
      <c r="S46" s="23"/>
      <c r="T46" s="23"/>
      <c r="U46" s="23"/>
      <c r="V46" s="23"/>
      <c r="W46" s="23"/>
    </row>
    <row r="47" spans="1:23" ht="16.5">
      <c r="F47" s="23"/>
      <c r="G47" s="23"/>
      <c r="H47" s="23"/>
      <c r="I47" s="23"/>
      <c r="J47" s="23"/>
      <c r="K47" s="23"/>
      <c r="L47" s="23"/>
      <c r="M47" s="23"/>
      <c r="N47" s="23"/>
      <c r="O47" s="23"/>
      <c r="P47" s="23"/>
      <c r="Q47" s="23"/>
      <c r="R47" s="23"/>
      <c r="S47" s="23"/>
      <c r="T47" s="23"/>
      <c r="U47" s="23"/>
      <c r="V47" s="23"/>
      <c r="W47" s="23"/>
    </row>
    <row r="48" spans="1:23" ht="16.5">
      <c r="F48" s="23"/>
      <c r="G48" s="23"/>
      <c r="H48" s="23"/>
      <c r="I48" s="23"/>
      <c r="J48" s="23"/>
      <c r="K48" s="23"/>
      <c r="L48" s="23"/>
      <c r="M48" s="23"/>
      <c r="N48" s="23"/>
      <c r="O48" s="23"/>
      <c r="P48" s="23"/>
      <c r="Q48" s="23"/>
      <c r="R48" s="23"/>
      <c r="S48" s="23"/>
      <c r="T48" s="23"/>
      <c r="U48" s="23"/>
      <c r="V48" s="23"/>
      <c r="W48" s="23"/>
    </row>
    <row r="49" spans="6:23" ht="16.5">
      <c r="F49" s="23"/>
      <c r="G49" s="23"/>
      <c r="H49" s="23"/>
      <c r="I49" s="23"/>
      <c r="J49" s="23"/>
      <c r="K49" s="23"/>
      <c r="L49" s="23"/>
      <c r="M49" s="23"/>
      <c r="N49" s="23"/>
      <c r="O49" s="23"/>
      <c r="P49" s="23"/>
      <c r="Q49" s="23"/>
      <c r="R49" s="23"/>
      <c r="S49" s="23"/>
      <c r="T49" s="23"/>
      <c r="U49" s="23"/>
      <c r="V49" s="23"/>
      <c r="W49" s="23"/>
    </row>
    <row r="50" spans="6:23" ht="16.5">
      <c r="F50" s="23"/>
      <c r="G50" s="23"/>
      <c r="H50" s="23"/>
      <c r="I50" s="23"/>
      <c r="J50" s="23"/>
      <c r="K50" s="23"/>
      <c r="L50" s="23"/>
      <c r="M50" s="23"/>
      <c r="N50" s="23"/>
      <c r="O50" s="23"/>
      <c r="P50" s="23"/>
      <c r="Q50" s="23"/>
      <c r="R50" s="23"/>
      <c r="S50" s="23"/>
      <c r="T50" s="23"/>
      <c r="U50" s="23"/>
      <c r="V50" s="23"/>
      <c r="W50" s="23"/>
    </row>
    <row r="51" spans="6:23" ht="16.5">
      <c r="F51" s="23"/>
      <c r="G51" s="23"/>
      <c r="H51" s="23"/>
      <c r="I51" s="23"/>
      <c r="J51" s="23"/>
      <c r="K51" s="23"/>
      <c r="L51" s="23"/>
      <c r="M51" s="23"/>
      <c r="N51" s="23"/>
      <c r="O51" s="23"/>
      <c r="P51" s="23"/>
      <c r="Q51" s="23"/>
      <c r="R51" s="23"/>
      <c r="S51" s="23"/>
      <c r="T51" s="23"/>
      <c r="U51" s="23"/>
      <c r="V51" s="23"/>
      <c r="W51" s="23"/>
    </row>
    <row r="52" spans="6:23" ht="16.5">
      <c r="F52" s="23"/>
      <c r="G52" s="23"/>
      <c r="H52" s="23"/>
      <c r="I52" s="23"/>
      <c r="J52" s="23"/>
      <c r="K52" s="23"/>
      <c r="L52" s="23"/>
      <c r="M52" s="23"/>
      <c r="N52" s="23"/>
      <c r="O52" s="23"/>
      <c r="P52" s="23"/>
      <c r="Q52" s="23"/>
      <c r="R52" s="23"/>
      <c r="S52" s="23"/>
      <c r="T52" s="23"/>
      <c r="U52" s="23"/>
      <c r="V52" s="23"/>
      <c r="W52" s="23"/>
    </row>
    <row r="53" spans="6:23" ht="16.5">
      <c r="F53" s="23"/>
      <c r="G53" s="23"/>
      <c r="H53" s="23"/>
      <c r="I53" s="23"/>
      <c r="J53" s="23"/>
      <c r="K53" s="23"/>
      <c r="L53" s="23"/>
      <c r="M53" s="23"/>
      <c r="N53" s="23"/>
      <c r="O53" s="23"/>
      <c r="P53" s="23"/>
      <c r="Q53" s="23"/>
      <c r="R53" s="23"/>
      <c r="S53" s="23"/>
      <c r="T53" s="23"/>
      <c r="U53" s="23"/>
      <c r="V53" s="23"/>
      <c r="W53" s="23"/>
    </row>
    <row r="54" spans="6:23" ht="16.5">
      <c r="F54" s="23"/>
      <c r="G54" s="23"/>
      <c r="H54" s="23"/>
      <c r="I54" s="23"/>
      <c r="J54" s="23"/>
      <c r="K54" s="23"/>
      <c r="L54" s="23"/>
      <c r="M54" s="23"/>
      <c r="N54" s="23"/>
      <c r="O54" s="23"/>
      <c r="P54" s="23"/>
      <c r="Q54" s="23"/>
      <c r="R54" s="23"/>
      <c r="S54" s="23"/>
      <c r="T54" s="23"/>
      <c r="U54" s="23"/>
      <c r="V54" s="23"/>
      <c r="W54" s="23"/>
    </row>
    <row r="55" spans="6:23" ht="16.5">
      <c r="F55" s="23"/>
      <c r="G55" s="23"/>
      <c r="H55" s="23"/>
      <c r="I55" s="23"/>
      <c r="J55" s="23"/>
      <c r="K55" s="23"/>
      <c r="L55" s="23"/>
      <c r="M55" s="23"/>
      <c r="N55" s="23"/>
      <c r="O55" s="23"/>
      <c r="P55" s="23"/>
      <c r="Q55" s="23"/>
      <c r="R55" s="23"/>
      <c r="S55" s="23"/>
      <c r="T55" s="23"/>
      <c r="U55" s="23"/>
      <c r="V55" s="23"/>
      <c r="W55" s="23"/>
    </row>
    <row r="56" spans="6:23" ht="16.5">
      <c r="F56" s="23"/>
      <c r="G56" s="23"/>
      <c r="H56" s="23"/>
      <c r="I56" s="23"/>
      <c r="J56" s="23"/>
      <c r="K56" s="23"/>
      <c r="L56" s="23"/>
      <c r="M56" s="23"/>
      <c r="N56" s="23"/>
      <c r="O56" s="23"/>
      <c r="P56" s="23"/>
      <c r="Q56" s="23"/>
      <c r="R56" s="23"/>
      <c r="S56" s="23"/>
      <c r="T56" s="23"/>
      <c r="U56" s="23"/>
      <c r="V56" s="23"/>
      <c r="W56" s="23"/>
    </row>
    <row r="57" spans="6:23" ht="16.5">
      <c r="F57" s="23"/>
      <c r="G57" s="23"/>
      <c r="H57" s="23"/>
      <c r="I57" s="23"/>
      <c r="J57" s="23"/>
      <c r="K57" s="23"/>
      <c r="L57" s="23"/>
      <c r="M57" s="23"/>
      <c r="N57" s="23"/>
      <c r="O57" s="23"/>
      <c r="P57" s="23"/>
      <c r="Q57" s="23"/>
      <c r="R57" s="23"/>
      <c r="S57" s="23"/>
      <c r="T57" s="23"/>
      <c r="U57" s="23"/>
      <c r="V57" s="23"/>
      <c r="W57" s="23"/>
    </row>
    <row r="58" spans="6:23" ht="16.5">
      <c r="F58" s="23"/>
      <c r="G58" s="23"/>
      <c r="H58" s="23"/>
      <c r="I58" s="23"/>
      <c r="J58" s="23"/>
      <c r="K58" s="23"/>
      <c r="L58" s="23"/>
      <c r="M58" s="23"/>
      <c r="N58" s="23"/>
      <c r="O58" s="23"/>
      <c r="P58" s="23"/>
      <c r="Q58" s="23"/>
      <c r="R58" s="23"/>
      <c r="S58" s="23"/>
      <c r="T58" s="23"/>
      <c r="U58" s="23"/>
      <c r="V58" s="23"/>
      <c r="W58" s="23"/>
    </row>
    <row r="59" spans="6:23" ht="16.5">
      <c r="F59" s="23"/>
      <c r="G59" s="23"/>
      <c r="H59" s="23"/>
      <c r="I59" s="23"/>
      <c r="J59" s="23"/>
      <c r="K59" s="23"/>
      <c r="L59" s="23"/>
      <c r="M59" s="23"/>
      <c r="N59" s="23"/>
      <c r="O59" s="23"/>
      <c r="P59" s="23"/>
      <c r="Q59" s="23"/>
      <c r="R59" s="23"/>
      <c r="S59" s="23"/>
      <c r="T59" s="23"/>
      <c r="U59" s="23"/>
      <c r="V59" s="23"/>
      <c r="W59" s="23"/>
    </row>
    <row r="60" spans="6:23" ht="16.5">
      <c r="F60" s="23"/>
      <c r="G60" s="23"/>
      <c r="H60" s="23"/>
      <c r="I60" s="23"/>
      <c r="J60" s="23"/>
      <c r="K60" s="23"/>
      <c r="L60" s="23"/>
      <c r="M60" s="23"/>
      <c r="N60" s="23"/>
      <c r="O60" s="23"/>
      <c r="P60" s="23"/>
      <c r="Q60" s="23"/>
      <c r="R60" s="23"/>
      <c r="S60" s="23"/>
      <c r="T60" s="23"/>
      <c r="U60" s="23"/>
      <c r="V60" s="23"/>
      <c r="W60" s="23"/>
    </row>
    <row r="61" spans="6:23" ht="16.5">
      <c r="F61" s="23"/>
      <c r="G61" s="23"/>
      <c r="H61" s="23"/>
      <c r="I61" s="23"/>
      <c r="J61" s="23"/>
      <c r="K61" s="23"/>
      <c r="L61" s="23"/>
      <c r="M61" s="23"/>
      <c r="N61" s="23"/>
      <c r="O61" s="23"/>
      <c r="P61" s="23"/>
      <c r="Q61" s="23"/>
      <c r="R61" s="23"/>
      <c r="S61" s="23"/>
      <c r="T61" s="23"/>
      <c r="U61" s="23"/>
      <c r="V61" s="23"/>
      <c r="W61" s="23"/>
    </row>
    <row r="62" spans="6:23" ht="16.5">
      <c r="F62" s="23"/>
      <c r="G62" s="23"/>
      <c r="H62" s="23"/>
      <c r="I62" s="23"/>
      <c r="J62" s="23"/>
      <c r="K62" s="23"/>
      <c r="L62" s="23"/>
      <c r="M62" s="23"/>
      <c r="N62" s="23"/>
      <c r="O62" s="23"/>
      <c r="P62" s="23"/>
      <c r="Q62" s="23"/>
      <c r="R62" s="23"/>
      <c r="S62" s="23"/>
      <c r="T62" s="23"/>
      <c r="U62" s="23"/>
      <c r="V62" s="23"/>
      <c r="W62" s="23"/>
    </row>
    <row r="63" spans="6:23" ht="16.5">
      <c r="F63" s="23"/>
      <c r="G63" s="23"/>
      <c r="H63" s="23"/>
      <c r="I63" s="23"/>
      <c r="J63" s="23"/>
      <c r="K63" s="23"/>
      <c r="L63" s="23"/>
      <c r="M63" s="23"/>
      <c r="N63" s="23"/>
      <c r="O63" s="23"/>
      <c r="P63" s="23"/>
      <c r="Q63" s="23"/>
      <c r="R63" s="23"/>
      <c r="S63" s="23"/>
      <c r="T63" s="23"/>
      <c r="U63" s="23"/>
      <c r="V63" s="23"/>
      <c r="W63" s="23"/>
    </row>
    <row r="64" spans="6:23" ht="16.5">
      <c r="F64" s="23"/>
      <c r="G64" s="23"/>
      <c r="H64" s="23"/>
      <c r="I64" s="23"/>
      <c r="J64" s="23"/>
      <c r="K64" s="23"/>
      <c r="L64" s="23"/>
      <c r="M64" s="23"/>
      <c r="N64" s="23"/>
      <c r="O64" s="23"/>
      <c r="P64" s="23"/>
      <c r="Q64" s="23"/>
      <c r="R64" s="23"/>
      <c r="S64" s="23"/>
      <c r="T64" s="23"/>
      <c r="U64" s="23"/>
      <c r="V64" s="23"/>
      <c r="W64" s="23"/>
    </row>
    <row r="65" spans="6:23" ht="16.5">
      <c r="F65" s="23"/>
      <c r="G65" s="23"/>
      <c r="H65" s="23"/>
      <c r="I65" s="23"/>
      <c r="J65" s="23"/>
      <c r="K65" s="23"/>
      <c r="L65" s="23"/>
      <c r="M65" s="23"/>
      <c r="N65" s="23"/>
      <c r="O65" s="23"/>
      <c r="P65" s="23"/>
      <c r="Q65" s="23"/>
      <c r="R65" s="23"/>
      <c r="S65" s="23"/>
      <c r="T65" s="23"/>
      <c r="U65" s="23"/>
      <c r="V65" s="23"/>
      <c r="W65" s="23"/>
    </row>
    <row r="66" spans="6:23" ht="16.5">
      <c r="F66" s="23"/>
      <c r="G66" s="23"/>
      <c r="H66" s="23"/>
      <c r="I66" s="23"/>
      <c r="J66" s="23"/>
      <c r="K66" s="23"/>
      <c r="L66" s="23"/>
      <c r="M66" s="23"/>
      <c r="N66" s="23"/>
      <c r="O66" s="23"/>
      <c r="P66" s="23"/>
      <c r="Q66" s="23"/>
      <c r="R66" s="23"/>
      <c r="S66" s="23"/>
      <c r="T66" s="23"/>
      <c r="U66" s="23"/>
      <c r="V66" s="23"/>
      <c r="W66" s="23"/>
    </row>
    <row r="67" spans="6:23" ht="16.5">
      <c r="F67" s="23"/>
      <c r="G67" s="23"/>
      <c r="H67" s="23"/>
      <c r="I67" s="23"/>
      <c r="J67" s="23"/>
      <c r="K67" s="23"/>
      <c r="L67" s="23"/>
      <c r="M67" s="23"/>
      <c r="N67" s="23"/>
      <c r="O67" s="23"/>
      <c r="P67" s="23"/>
      <c r="Q67" s="23"/>
      <c r="R67" s="23"/>
      <c r="S67" s="23"/>
      <c r="T67" s="23"/>
      <c r="U67" s="23"/>
      <c r="V67" s="23"/>
      <c r="W67" s="23"/>
    </row>
    <row r="68" spans="6:23" ht="16.5">
      <c r="F68" s="23"/>
      <c r="G68" s="23"/>
      <c r="H68" s="23"/>
      <c r="I68" s="23"/>
      <c r="J68" s="23"/>
      <c r="K68" s="23"/>
      <c r="L68" s="23"/>
      <c r="M68" s="23"/>
      <c r="N68" s="23"/>
      <c r="O68" s="23"/>
      <c r="P68" s="23"/>
      <c r="Q68" s="23"/>
      <c r="R68" s="23"/>
      <c r="S68" s="23"/>
      <c r="T68" s="23"/>
      <c r="U68" s="23"/>
      <c r="V68" s="23"/>
      <c r="W68" s="23"/>
    </row>
    <row r="69" spans="6:23" ht="16.5">
      <c r="F69" s="23"/>
      <c r="G69" s="23"/>
      <c r="H69" s="23"/>
      <c r="I69" s="23"/>
      <c r="J69" s="23"/>
      <c r="K69" s="23"/>
      <c r="L69" s="23"/>
      <c r="M69" s="23"/>
      <c r="N69" s="23"/>
      <c r="O69" s="23"/>
      <c r="P69" s="23"/>
      <c r="Q69" s="23"/>
      <c r="R69" s="23"/>
      <c r="S69" s="23"/>
      <c r="T69" s="23"/>
      <c r="U69" s="23"/>
      <c r="V69" s="23"/>
      <c r="W69" s="23"/>
    </row>
    <row r="70" spans="6:23" ht="16.5">
      <c r="F70" s="23"/>
      <c r="G70" s="23"/>
      <c r="H70" s="23"/>
      <c r="I70" s="23"/>
      <c r="J70" s="23"/>
      <c r="K70" s="23"/>
      <c r="L70" s="23"/>
      <c r="M70" s="23"/>
      <c r="N70" s="23"/>
      <c r="O70" s="23"/>
      <c r="P70" s="23"/>
      <c r="Q70" s="23"/>
      <c r="R70" s="23"/>
      <c r="S70" s="23"/>
      <c r="T70" s="23"/>
      <c r="U70" s="23"/>
      <c r="V70" s="23"/>
      <c r="W70" s="23"/>
    </row>
    <row r="71" spans="6:23" ht="16.5">
      <c r="F71" s="23"/>
      <c r="G71" s="23"/>
      <c r="H71" s="23"/>
      <c r="I71" s="23"/>
      <c r="J71" s="23"/>
      <c r="K71" s="23"/>
      <c r="L71" s="23"/>
      <c r="M71" s="23"/>
      <c r="N71" s="23"/>
      <c r="O71" s="23"/>
      <c r="P71" s="23"/>
      <c r="Q71" s="23"/>
      <c r="R71" s="23"/>
      <c r="S71" s="23"/>
      <c r="T71" s="23"/>
      <c r="U71" s="23"/>
      <c r="V71" s="23"/>
      <c r="W71" s="23"/>
    </row>
    <row r="72" spans="6:23" ht="16.5">
      <c r="F72" s="23"/>
      <c r="G72" s="23"/>
      <c r="H72" s="23"/>
      <c r="I72" s="23"/>
      <c r="J72" s="23"/>
      <c r="K72" s="23"/>
      <c r="L72" s="23"/>
      <c r="M72" s="23"/>
      <c r="N72" s="23"/>
      <c r="O72" s="23"/>
      <c r="P72" s="23"/>
      <c r="Q72" s="23"/>
      <c r="R72" s="23"/>
      <c r="S72" s="23"/>
      <c r="T72" s="23"/>
      <c r="U72" s="23"/>
      <c r="V72" s="23"/>
      <c r="W72" s="23"/>
    </row>
    <row r="73" spans="6:23" ht="16.5">
      <c r="F73" s="23"/>
      <c r="G73" s="23"/>
      <c r="H73" s="23"/>
      <c r="I73" s="23"/>
      <c r="J73" s="23"/>
      <c r="K73" s="23"/>
      <c r="L73" s="23"/>
      <c r="M73" s="23"/>
      <c r="N73" s="23"/>
      <c r="O73" s="23"/>
      <c r="P73" s="23"/>
      <c r="Q73" s="23"/>
      <c r="R73" s="23"/>
      <c r="S73" s="23"/>
      <c r="T73" s="23"/>
      <c r="U73" s="23"/>
      <c r="V73" s="23"/>
      <c r="W73" s="23"/>
    </row>
    <row r="74" spans="6:23" ht="16.5">
      <c r="F74" s="23"/>
      <c r="G74" s="23"/>
      <c r="H74" s="23"/>
      <c r="I74" s="23"/>
      <c r="J74" s="23"/>
      <c r="K74" s="23"/>
      <c r="L74" s="23"/>
      <c r="M74" s="23"/>
      <c r="N74" s="23"/>
      <c r="O74" s="23"/>
      <c r="P74" s="23"/>
      <c r="Q74" s="23"/>
      <c r="R74" s="23"/>
      <c r="S74" s="23"/>
      <c r="T74" s="23"/>
      <c r="U74" s="23"/>
      <c r="V74" s="23"/>
      <c r="W74" s="23"/>
    </row>
    <row r="75" spans="6:23" ht="16.5">
      <c r="F75" s="23"/>
      <c r="G75" s="23"/>
      <c r="H75" s="23"/>
      <c r="I75" s="23"/>
      <c r="J75" s="23"/>
      <c r="K75" s="23"/>
      <c r="L75" s="23"/>
      <c r="M75" s="23"/>
      <c r="N75" s="23"/>
      <c r="O75" s="23"/>
      <c r="P75" s="23"/>
      <c r="Q75" s="23"/>
      <c r="R75" s="23"/>
      <c r="S75" s="23"/>
      <c r="T75" s="23"/>
      <c r="U75" s="23"/>
      <c r="V75" s="23"/>
      <c r="W75" s="23"/>
    </row>
    <row r="76" spans="6:23" ht="16.5">
      <c r="F76" s="23"/>
      <c r="G76" s="23"/>
      <c r="H76" s="23"/>
      <c r="I76" s="23"/>
      <c r="J76" s="23"/>
      <c r="K76" s="23"/>
      <c r="L76" s="23"/>
      <c r="M76" s="23"/>
      <c r="N76" s="23"/>
      <c r="O76" s="23"/>
      <c r="P76" s="23"/>
      <c r="Q76" s="23"/>
      <c r="R76" s="23"/>
      <c r="S76" s="23"/>
      <c r="T76" s="23"/>
      <c r="U76" s="23"/>
      <c r="V76" s="23"/>
      <c r="W76" s="23"/>
    </row>
    <row r="77" spans="6:23" ht="16.5">
      <c r="F77" s="23"/>
      <c r="G77" s="23"/>
      <c r="H77" s="23"/>
      <c r="I77" s="23"/>
      <c r="J77" s="23"/>
      <c r="K77" s="23"/>
      <c r="L77" s="23"/>
      <c r="M77" s="23"/>
      <c r="N77" s="23"/>
      <c r="O77" s="23"/>
      <c r="P77" s="23"/>
      <c r="Q77" s="23"/>
      <c r="R77" s="23"/>
      <c r="S77" s="23"/>
      <c r="T77" s="23"/>
      <c r="U77" s="23"/>
      <c r="V77" s="23"/>
      <c r="W77" s="23"/>
    </row>
    <row r="78" spans="6:23" ht="16.5">
      <c r="F78" s="23"/>
      <c r="G78" s="23"/>
      <c r="H78" s="23"/>
      <c r="I78" s="23"/>
      <c r="J78" s="23"/>
      <c r="K78" s="23"/>
      <c r="L78" s="23"/>
      <c r="M78" s="23"/>
      <c r="N78" s="23"/>
      <c r="O78" s="23"/>
      <c r="P78" s="23"/>
      <c r="Q78" s="23"/>
      <c r="R78" s="23"/>
      <c r="S78" s="23"/>
      <c r="T78" s="23"/>
      <c r="U78" s="23"/>
      <c r="V78" s="23"/>
      <c r="W78" s="23"/>
    </row>
    <row r="79" spans="6:23" ht="16.5">
      <c r="F79" s="23"/>
      <c r="G79" s="23"/>
      <c r="H79" s="23"/>
      <c r="I79" s="23"/>
      <c r="J79" s="23"/>
      <c r="K79" s="23"/>
      <c r="L79" s="23"/>
      <c r="M79" s="23"/>
      <c r="N79" s="23"/>
      <c r="O79" s="23"/>
      <c r="P79" s="23"/>
      <c r="Q79" s="23"/>
      <c r="R79" s="23"/>
      <c r="S79" s="23"/>
      <c r="T79" s="23"/>
      <c r="U79" s="23"/>
      <c r="V79" s="23"/>
      <c r="W79" s="23"/>
    </row>
    <row r="80" spans="6:23" ht="16.5">
      <c r="F80" s="23"/>
      <c r="G80" s="23"/>
      <c r="H80" s="23"/>
      <c r="I80" s="23"/>
      <c r="J80" s="23"/>
      <c r="K80" s="23"/>
      <c r="L80" s="23"/>
      <c r="M80" s="23"/>
      <c r="N80" s="23"/>
      <c r="O80" s="23"/>
      <c r="P80" s="23"/>
      <c r="Q80" s="23"/>
      <c r="R80" s="23"/>
      <c r="S80" s="23"/>
      <c r="T80" s="23"/>
      <c r="U80" s="23"/>
      <c r="V80" s="23"/>
      <c r="W80" s="23"/>
    </row>
    <row r="81" spans="6:23" ht="16.5">
      <c r="F81" s="23"/>
      <c r="G81" s="23"/>
      <c r="H81" s="23"/>
      <c r="I81" s="23"/>
      <c r="J81" s="23"/>
      <c r="K81" s="23"/>
      <c r="L81" s="23"/>
      <c r="M81" s="23"/>
      <c r="N81" s="23"/>
      <c r="O81" s="23"/>
      <c r="P81" s="23"/>
      <c r="Q81" s="23"/>
      <c r="R81" s="23"/>
      <c r="S81" s="23"/>
      <c r="T81" s="23"/>
      <c r="U81" s="23"/>
      <c r="V81" s="23"/>
      <c r="W81" s="23"/>
    </row>
    <row r="82" spans="6:23" ht="16.5">
      <c r="F82" s="23"/>
      <c r="G82" s="23"/>
      <c r="H82" s="23"/>
      <c r="I82" s="23"/>
      <c r="J82" s="23"/>
      <c r="K82" s="23"/>
      <c r="L82" s="23"/>
      <c r="M82" s="23"/>
      <c r="N82" s="23"/>
      <c r="O82" s="23"/>
      <c r="P82" s="23"/>
      <c r="Q82" s="23"/>
      <c r="R82" s="23"/>
      <c r="S82" s="23"/>
      <c r="T82" s="23"/>
      <c r="U82" s="23"/>
      <c r="V82" s="23"/>
      <c r="W82" s="23"/>
    </row>
    <row r="83" spans="6:23" ht="16.5">
      <c r="F83" s="23"/>
      <c r="G83" s="23"/>
      <c r="H83" s="23"/>
      <c r="I83" s="23"/>
      <c r="J83" s="23"/>
      <c r="K83" s="23"/>
      <c r="L83" s="23"/>
      <c r="M83" s="23"/>
      <c r="N83" s="23"/>
      <c r="O83" s="23"/>
      <c r="P83" s="23"/>
      <c r="Q83" s="23"/>
      <c r="R83" s="23"/>
      <c r="S83" s="23"/>
      <c r="T83" s="23"/>
      <c r="U83" s="23"/>
      <c r="V83" s="23"/>
      <c r="W83" s="23"/>
    </row>
    <row r="84" spans="6:23" ht="16.5">
      <c r="F84" s="23"/>
      <c r="G84" s="23"/>
      <c r="H84" s="23"/>
      <c r="I84" s="23"/>
      <c r="J84" s="23"/>
      <c r="K84" s="23"/>
      <c r="L84" s="23"/>
      <c r="M84" s="23"/>
      <c r="N84" s="23"/>
      <c r="O84" s="23"/>
      <c r="P84" s="23"/>
      <c r="Q84" s="23"/>
      <c r="R84" s="23"/>
      <c r="S84" s="23"/>
      <c r="T84" s="23"/>
      <c r="U84" s="23"/>
      <c r="V84" s="23"/>
      <c r="W84" s="23"/>
    </row>
    <row r="85" spans="6:23" ht="16.5">
      <c r="F85" s="23"/>
      <c r="G85" s="23"/>
      <c r="H85" s="23"/>
      <c r="I85" s="23"/>
      <c r="J85" s="23"/>
      <c r="K85" s="23"/>
      <c r="L85" s="23"/>
      <c r="M85" s="23"/>
      <c r="N85" s="23"/>
      <c r="O85" s="23"/>
      <c r="P85" s="23"/>
      <c r="Q85" s="23"/>
      <c r="R85" s="23"/>
      <c r="S85" s="23"/>
      <c r="T85" s="23"/>
      <c r="U85" s="23"/>
      <c r="V85" s="23"/>
      <c r="W85" s="23"/>
    </row>
    <row r="86" spans="6:23" ht="16.5">
      <c r="F86" s="23"/>
      <c r="G86" s="23"/>
      <c r="H86" s="23"/>
      <c r="I86" s="23"/>
      <c r="J86" s="23"/>
      <c r="K86" s="23"/>
      <c r="L86" s="23"/>
      <c r="M86" s="23"/>
      <c r="N86" s="23"/>
      <c r="O86" s="23"/>
      <c r="P86" s="23"/>
      <c r="Q86" s="23"/>
      <c r="R86" s="23"/>
      <c r="S86" s="23"/>
      <c r="T86" s="23"/>
      <c r="U86" s="23"/>
      <c r="V86" s="23"/>
      <c r="W86" s="23"/>
    </row>
    <row r="87" spans="6:23" ht="16.5">
      <c r="F87" s="23"/>
      <c r="G87" s="23"/>
      <c r="H87" s="23"/>
      <c r="I87" s="23"/>
      <c r="J87" s="23"/>
      <c r="K87" s="23"/>
      <c r="L87" s="23"/>
      <c r="M87" s="23"/>
      <c r="N87" s="23"/>
      <c r="O87" s="23"/>
      <c r="P87" s="23"/>
      <c r="Q87" s="23"/>
      <c r="R87" s="23"/>
      <c r="S87" s="23"/>
      <c r="T87" s="23"/>
      <c r="U87" s="23"/>
      <c r="V87" s="23"/>
      <c r="W87" s="23"/>
    </row>
    <row r="88" spans="6:23" ht="16.5">
      <c r="F88" s="23"/>
      <c r="G88" s="23"/>
      <c r="H88" s="23"/>
      <c r="I88" s="23"/>
      <c r="J88" s="23"/>
      <c r="K88" s="23"/>
      <c r="L88" s="23"/>
      <c r="M88" s="23"/>
      <c r="N88" s="23"/>
      <c r="O88" s="23"/>
      <c r="P88" s="23"/>
      <c r="Q88" s="23"/>
      <c r="R88" s="23"/>
      <c r="S88" s="23"/>
      <c r="T88" s="23"/>
      <c r="U88" s="23"/>
      <c r="V88" s="23"/>
      <c r="W88" s="23"/>
    </row>
    <row r="89" spans="6:23" ht="16.5">
      <c r="F89" s="23"/>
      <c r="G89" s="23"/>
      <c r="H89" s="23"/>
      <c r="I89" s="23"/>
      <c r="J89" s="23"/>
      <c r="K89" s="23"/>
      <c r="L89" s="23"/>
      <c r="M89" s="23"/>
      <c r="N89" s="23"/>
      <c r="O89" s="23"/>
      <c r="P89" s="23"/>
      <c r="Q89" s="23"/>
      <c r="R89" s="23"/>
      <c r="S89" s="23"/>
      <c r="T89" s="23"/>
      <c r="U89" s="23"/>
      <c r="V89" s="23"/>
      <c r="W89" s="23"/>
    </row>
    <row r="90" spans="6:23" ht="16.5">
      <c r="F90" s="23"/>
      <c r="G90" s="23"/>
      <c r="H90" s="23"/>
      <c r="I90" s="23"/>
      <c r="J90" s="23"/>
      <c r="K90" s="23"/>
      <c r="L90" s="23"/>
      <c r="M90" s="23"/>
      <c r="N90" s="23"/>
      <c r="O90" s="23"/>
      <c r="P90" s="23"/>
      <c r="Q90" s="23"/>
      <c r="R90" s="23"/>
      <c r="S90" s="23"/>
      <c r="T90" s="23"/>
      <c r="U90" s="23"/>
      <c r="V90" s="23"/>
      <c r="W90" s="23"/>
    </row>
    <row r="91" spans="6:23" ht="16.5">
      <c r="F91" s="23"/>
      <c r="G91" s="23"/>
      <c r="H91" s="23"/>
      <c r="I91" s="23"/>
      <c r="J91" s="23"/>
      <c r="K91" s="23"/>
      <c r="L91" s="23"/>
      <c r="M91" s="23"/>
      <c r="N91" s="23"/>
      <c r="O91" s="23"/>
      <c r="P91" s="23"/>
      <c r="Q91" s="23"/>
      <c r="R91" s="23"/>
      <c r="S91" s="23"/>
      <c r="T91" s="23"/>
      <c r="U91" s="23"/>
      <c r="V91" s="23"/>
      <c r="W91" s="23"/>
    </row>
    <row r="92" spans="6:23" ht="16.5">
      <c r="F92" s="23"/>
      <c r="G92" s="23"/>
      <c r="H92" s="23"/>
      <c r="I92" s="23"/>
      <c r="J92" s="23"/>
      <c r="K92" s="23"/>
      <c r="L92" s="23"/>
      <c r="M92" s="23"/>
      <c r="N92" s="23"/>
      <c r="O92" s="23"/>
      <c r="P92" s="23"/>
      <c r="Q92" s="23"/>
      <c r="R92" s="23"/>
      <c r="S92" s="23"/>
      <c r="T92" s="23"/>
      <c r="U92" s="23"/>
      <c r="V92" s="23"/>
      <c r="W92" s="23"/>
    </row>
    <row r="93" spans="6:23" ht="16.5">
      <c r="F93" s="23"/>
      <c r="G93" s="23"/>
      <c r="H93" s="23"/>
      <c r="I93" s="23"/>
      <c r="J93" s="23"/>
      <c r="K93" s="23"/>
      <c r="L93" s="23"/>
      <c r="M93" s="23"/>
      <c r="N93" s="23"/>
      <c r="O93" s="23"/>
      <c r="P93" s="23"/>
      <c r="Q93" s="23"/>
      <c r="R93" s="23"/>
      <c r="S93" s="23"/>
      <c r="T93" s="23"/>
      <c r="U93" s="23"/>
      <c r="V93" s="23"/>
      <c r="W93" s="23"/>
    </row>
    <row r="94" spans="6:23" ht="16.5">
      <c r="F94" s="23"/>
      <c r="G94" s="23"/>
      <c r="H94" s="23"/>
      <c r="I94" s="23"/>
      <c r="J94" s="23"/>
      <c r="K94" s="23"/>
      <c r="L94" s="23"/>
      <c r="M94" s="23"/>
      <c r="N94" s="23"/>
      <c r="O94" s="23"/>
      <c r="P94" s="23"/>
      <c r="Q94" s="23"/>
      <c r="R94" s="23"/>
      <c r="S94" s="23"/>
      <c r="T94" s="23"/>
      <c r="U94" s="23"/>
      <c r="V94" s="23"/>
      <c r="W94" s="23"/>
    </row>
  </sheetData>
  <mergeCells count="1">
    <mergeCell ref="A1:E1"/>
  </mergeCells>
  <phoneticPr fontId="21" type="noConversion"/>
  <pageMargins left="0.69930555555555596" right="0.69930555555555596" top="0.75" bottom="0.75" header="0.3" footer="0.3"/>
  <pageSetup paperSize="9" orientation="portrait"/>
  <ignoredErrors>
    <ignoredError sqref="B4:B41 B3"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zoomScale="130" zoomScaleNormal="130" workbookViewId="0">
      <selection activeCell="B16" sqref="B16"/>
    </sheetView>
  </sheetViews>
  <sheetFormatPr defaultColWidth="9" defaultRowHeight="13.5"/>
  <cols>
    <col min="1" max="1" width="6.875" customWidth="1"/>
    <col min="2" max="2" width="56" customWidth="1"/>
  </cols>
  <sheetData>
    <row r="1" spans="1:2" ht="15">
      <c r="A1" s="16" t="s">
        <v>116</v>
      </c>
      <c r="B1" s="3" t="s">
        <v>18</v>
      </c>
    </row>
    <row r="2" spans="1:2" ht="16.5">
      <c r="A2" s="17">
        <v>1</v>
      </c>
      <c r="B2" s="7" t="s">
        <v>311</v>
      </c>
    </row>
    <row r="3" spans="1:2" ht="16.5">
      <c r="A3" s="18">
        <v>2</v>
      </c>
      <c r="B3" s="11" t="s">
        <v>312</v>
      </c>
    </row>
    <row r="4" spans="1:2" ht="16.5">
      <c r="A4" s="17">
        <v>3</v>
      </c>
      <c r="B4" s="7" t="s">
        <v>313</v>
      </c>
    </row>
    <row r="5" spans="1:2" ht="16.5">
      <c r="A5" s="18">
        <v>4</v>
      </c>
      <c r="B5" s="11" t="s">
        <v>314</v>
      </c>
    </row>
    <row r="6" spans="1:2" ht="16.5">
      <c r="A6" s="17">
        <v>5</v>
      </c>
      <c r="B6" s="7" t="s">
        <v>315</v>
      </c>
    </row>
    <row r="7" spans="1:2" ht="16.5">
      <c r="A7" s="18">
        <v>6</v>
      </c>
      <c r="B7" s="11" t="s">
        <v>316</v>
      </c>
    </row>
    <row r="8" spans="1:2" ht="16.5">
      <c r="A8" s="17">
        <v>7</v>
      </c>
      <c r="B8" s="7" t="s">
        <v>317</v>
      </c>
    </row>
    <row r="9" spans="1:2" ht="16.5">
      <c r="A9" s="18">
        <v>8</v>
      </c>
      <c r="B9" s="11" t="s">
        <v>318</v>
      </c>
    </row>
    <row r="10" spans="1:2" ht="16.5">
      <c r="A10" s="17">
        <v>9</v>
      </c>
      <c r="B10" s="7" t="s">
        <v>319</v>
      </c>
    </row>
    <row r="11" spans="1:2" ht="16.5">
      <c r="A11" s="18">
        <v>10</v>
      </c>
      <c r="B11" s="11" t="s">
        <v>320</v>
      </c>
    </row>
    <row r="12" spans="1:2" ht="16.5">
      <c r="A12" s="17">
        <v>11</v>
      </c>
      <c r="B12" s="7" t="s">
        <v>321</v>
      </c>
    </row>
    <row r="13" spans="1:2" ht="16.5">
      <c r="A13" s="19">
        <v>12</v>
      </c>
      <c r="B13" s="15" t="s">
        <v>322</v>
      </c>
    </row>
    <row r="14" spans="1:2" ht="16.5">
      <c r="B14" s="20" t="s">
        <v>323</v>
      </c>
    </row>
  </sheetData>
  <phoneticPr fontId="21" type="noConversion"/>
  <pageMargins left="0.69930555555555596" right="0.69930555555555596"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Views>
    <sheetView topLeftCell="A7" workbookViewId="0">
      <selection activeCell="E14" sqref="E14"/>
    </sheetView>
  </sheetViews>
  <sheetFormatPr defaultColWidth="9" defaultRowHeight="13.5"/>
  <cols>
    <col min="2" max="2" width="11.625" customWidth="1"/>
    <col min="3" max="3" width="52.75" customWidth="1"/>
    <col min="4" max="4" width="23.625" customWidth="1"/>
  </cols>
  <sheetData>
    <row r="1" spans="1:4" ht="15">
      <c r="A1" s="1" t="s">
        <v>116</v>
      </c>
      <c r="B1" s="2" t="s">
        <v>13</v>
      </c>
      <c r="C1" s="2" t="s">
        <v>324</v>
      </c>
      <c r="D1" s="3" t="s">
        <v>325</v>
      </c>
    </row>
    <row r="2" spans="1:4" ht="49.5">
      <c r="A2" s="4">
        <v>1</v>
      </c>
      <c r="B2" s="5" t="s">
        <v>326</v>
      </c>
      <c r="C2" s="6" t="s">
        <v>327</v>
      </c>
      <c r="D2" s="7" t="s">
        <v>328</v>
      </c>
    </row>
    <row r="3" spans="1:4" ht="49.5">
      <c r="A3" s="8">
        <v>2</v>
      </c>
      <c r="B3" s="9" t="s">
        <v>329</v>
      </c>
      <c r="C3" s="10" t="s">
        <v>330</v>
      </c>
      <c r="D3" s="11" t="s">
        <v>331</v>
      </c>
    </row>
    <row r="4" spans="1:4" ht="49.5">
      <c r="A4" s="4">
        <v>3</v>
      </c>
      <c r="B4" s="5" t="s">
        <v>332</v>
      </c>
      <c r="C4" s="6" t="s">
        <v>333</v>
      </c>
      <c r="D4" s="7" t="s">
        <v>334</v>
      </c>
    </row>
    <row r="5" spans="1:4" ht="49.5">
      <c r="A5" s="8">
        <v>4</v>
      </c>
      <c r="B5" s="9" t="s">
        <v>335</v>
      </c>
      <c r="C5" s="10" t="s">
        <v>336</v>
      </c>
      <c r="D5" s="11" t="s">
        <v>337</v>
      </c>
    </row>
    <row r="6" spans="1:4" ht="66">
      <c r="A6" s="4">
        <v>5</v>
      </c>
      <c r="B6" s="5" t="s">
        <v>338</v>
      </c>
      <c r="C6" s="6" t="s">
        <v>339</v>
      </c>
      <c r="D6" s="7" t="s">
        <v>340</v>
      </c>
    </row>
    <row r="7" spans="1:4" ht="33">
      <c r="A7" s="8">
        <v>6</v>
      </c>
      <c r="B7" s="9" t="s">
        <v>341</v>
      </c>
      <c r="C7" s="10" t="s">
        <v>342</v>
      </c>
      <c r="D7" s="11" t="s">
        <v>343</v>
      </c>
    </row>
    <row r="8" spans="1:4" ht="66">
      <c r="A8" s="4">
        <v>7</v>
      </c>
      <c r="B8" s="5" t="s">
        <v>344</v>
      </c>
      <c r="C8" s="6" t="s">
        <v>345</v>
      </c>
      <c r="D8" s="7" t="s">
        <v>346</v>
      </c>
    </row>
    <row r="9" spans="1:4" ht="49.5">
      <c r="A9" s="8">
        <v>8</v>
      </c>
      <c r="B9" s="9" t="s">
        <v>347</v>
      </c>
      <c r="C9" s="10" t="s">
        <v>348</v>
      </c>
      <c r="D9" s="11" t="s">
        <v>349</v>
      </c>
    </row>
    <row r="10" spans="1:4" ht="49.5">
      <c r="A10" s="4">
        <v>9</v>
      </c>
      <c r="B10" s="5" t="s">
        <v>350</v>
      </c>
      <c r="C10" s="6" t="s">
        <v>351</v>
      </c>
      <c r="D10" s="7" t="s">
        <v>352</v>
      </c>
    </row>
    <row r="11" spans="1:4" ht="33">
      <c r="A11" s="8">
        <v>10</v>
      </c>
      <c r="B11" s="9" t="s">
        <v>353</v>
      </c>
      <c r="C11" s="10" t="s">
        <v>354</v>
      </c>
      <c r="D11" s="11" t="s">
        <v>355</v>
      </c>
    </row>
    <row r="12" spans="1:4" ht="49.5">
      <c r="A12" s="4">
        <v>11</v>
      </c>
      <c r="B12" s="5" t="s">
        <v>356</v>
      </c>
      <c r="C12" s="6" t="s">
        <v>357</v>
      </c>
      <c r="D12" s="7" t="s">
        <v>358</v>
      </c>
    </row>
    <row r="13" spans="1:4" ht="82.5">
      <c r="A13" s="8">
        <v>12</v>
      </c>
      <c r="B13" s="9" t="s">
        <v>359</v>
      </c>
      <c r="C13" s="10" t="s">
        <v>360</v>
      </c>
      <c r="D13" s="11" t="s">
        <v>361</v>
      </c>
    </row>
    <row r="14" spans="1:4" ht="148.5">
      <c r="A14" s="4">
        <v>13</v>
      </c>
      <c r="B14" s="5" t="s">
        <v>362</v>
      </c>
      <c r="C14" s="6" t="s">
        <v>363</v>
      </c>
      <c r="D14" s="7" t="s">
        <v>364</v>
      </c>
    </row>
    <row r="15" spans="1:4" ht="66">
      <c r="A15" s="12">
        <v>14</v>
      </c>
      <c r="B15" s="13" t="s">
        <v>365</v>
      </c>
      <c r="C15" s="14" t="s">
        <v>366</v>
      </c>
      <c r="D15" s="15" t="s">
        <v>367</v>
      </c>
    </row>
  </sheetData>
  <phoneticPr fontId="21" type="noConversion"/>
  <pageMargins left="0.69930555555555596" right="0.69930555555555596"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人物卡</vt:lpstr>
      <vt:lpstr>职业列表</vt:lpstr>
      <vt:lpstr>示例 哈维先生</vt:lpstr>
      <vt:lpstr>职业</vt:lpstr>
      <vt:lpstr>特殊规则</vt:lpstr>
      <vt:lpstr>信誉等级</vt:lpstr>
      <vt:lpstr>武器列表</vt:lpstr>
      <vt:lpstr>心智支柱</vt:lpstr>
      <vt:lpstr>动力</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莫亦;咕咕</dc:creator>
  <cp:lastModifiedBy>qh</cp:lastModifiedBy>
  <dcterms:created xsi:type="dcterms:W3CDTF">2016-04-28T12:49:00Z</dcterms:created>
  <dcterms:modified xsi:type="dcterms:W3CDTF">2019-04-29T06:23:24Z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2052-10.1.0.7469</vt:lpwstr>
  </property>
</Properties>
</file>